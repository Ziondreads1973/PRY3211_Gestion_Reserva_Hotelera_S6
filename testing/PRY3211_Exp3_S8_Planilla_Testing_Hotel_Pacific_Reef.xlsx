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40bf1d200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S8" sheetId="1" r:id="Rd625a041c5a54a91"/>
    <x:sheet xmlns:r="http://schemas.openxmlformats.org/officeDocument/2006/relationships" name="Casos de Prueba S8" sheetId="2" r:id="Rde432c288999430c"/>
    <x:sheet xmlns:r="http://schemas.openxmlformats.org/officeDocument/2006/relationships" name="Evidencias S8" sheetId="3" r:id="Rb8949aa8f9d045ab"/>
    <x:sheet xmlns:r="http://schemas.openxmlformats.org/officeDocument/2006/relationships" name="Estados" sheetId="4" r:id="R549ce354a816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0"/>
      <x:color rgb="0F172A"/>
      <x:name val="Carlito"/>
    </x:font>
    <x:font>
      <x:sz val="10"/>
      <x:color rgb="111827"/>
      <x:name val="Carlito"/>
    </x:font>
    <x:font>
      <x:sz val="10"/>
      <x:name val="Carlito"/>
    </x:font>
    <x:font>
      <x:b/>
      <x:sz val="10"/>
      <x:name val="Carlito"/>
    </x:font>
    <x:font>
      <x:b/>
      <x:sz val="14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0F2FE"/>
      </x:patternFill>
    </x:fill>
    <x:fill>
      <x:patternFill patternType="solid">
        <x:fgColor rgb="F1F5F9"/>
      </x:patternFill>
    </x:fill>
    <x:fill>
      <x:patternFill patternType="solid">
        <x:fgColor rgb="DBEAFE"/>
      </x:patternFill>
    </x:fill>
  </x:fills>
  <x:borders count="12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BFDBFE"/>
      </x:left>
      <x:top style="thin">
        <x:color rgb="BFDBFE"/>
      </x:top>
      <x:bottom style="thin">
        <x:color rgb="BFDBFE"/>
      </x:bottom>
    </x:border>
    <x:border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BFDBFE"/>
      </x:left>
      <x:top style="thin">
        <x:color rgb="BFDBFE"/>
      </x:top>
      <x:bottom style="thin">
        <x:color rgb="BFDBFE"/>
      </x:bottom>
    </x:border>
    <x:border>
      <x:right style="thin">
        <x:color rgb="BFDBFE"/>
      </x:right>
      <x:top style="thin">
        <x:color rgb="BFDBFE"/>
      </x:top>
      <x:bottom style="thin">
        <x:color rgb="BFDBFE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2e78453384236" /><Relationship Type="http://schemas.openxmlformats.org/officeDocument/2006/relationships/theme" Target="/xl/theme/theme1.xml" Id="Re8558b4f90324544" /><Relationship Type="http://schemas.openxmlformats.org/officeDocument/2006/relationships/sharedStrings" Target="/xl/sharedStrings.xml" Id="R91da37ce1c9c497e" /><Relationship Type="http://schemas.openxmlformats.org/officeDocument/2006/relationships/worksheet" Target="/xl/worksheets/sheet1.xml" Id="Rd625a041c5a54a91" /><Relationship Type="http://schemas.openxmlformats.org/officeDocument/2006/relationships/worksheet" Target="/xl/worksheets/sheet2.xml" Id="Rde432c288999430c" /><Relationship Type="http://schemas.openxmlformats.org/officeDocument/2006/relationships/worksheet" Target="/xl/worksheets/sheet3.xml" Id="Rb8949aa8f9d045ab" /><Relationship Type="http://schemas.openxmlformats.org/officeDocument/2006/relationships/worksheet" Target="/xl/worksheets/sheet4.xml" Id="R549ce354a816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17.08984375" hidden="0" customHeight="1">
      <x:c r="A1" s="82" t="str">
        <x:v>PRY3211 - Semana 8 - Planilla de Pruebas</x:v>
      </x:c>
      <x:c r="B1" s="83" t="str"/>
    </x:row>
    <x:row r="2" ht="15" hidden="0" customHeight="1">
      <x:c r="A2" s="58" t="str">
        <x:v>Proyecto</x:v>
      </x:c>
      <x:c r="B2" s="58" t="str">
        <x:v>Hotel Pacific Reef - Gestión de Reserva Hotelera</x:v>
      </x:c>
    </x:row>
    <x:row r="3" ht="15" hidden="0" customHeight="1">
      <x:c r="A3" s="58" t="str">
        <x:v>Versión</x:v>
      </x:c>
      <x:c r="B3" s="58" t="str">
        <x:v>Release funcional Semana 8</x:v>
      </x:c>
    </x:row>
    <x:row r="4" ht="15" hidden="0" customHeight="1">
      <x:c r="A4" s="58" t="str">
        <x:v>Fecha de actualización</x:v>
      </x:c>
      <x:c r="B4" s="58" t="str">
        <x:v>2026-05-01</x:v>
      </x:c>
    </x:row>
    <x:row r="5" ht="15" hidden="0" customHeight="1">
      <x:c r="A5" s="58" t="str">
        <x:v>Fuente base</x:v>
      </x:c>
      <x:c r="B5" s="58" t="str">
        <x:v>Planilla Semana 7 actualizada a Release Semana 8</x:v>
      </x:c>
    </x:row>
    <x:row r="6" ht="15" hidden="0" customHeight="1">
      <x:c r="A6" t="str"/>
      <x:c r="B6" t="str"/>
    </x:row>
    <x:row r="7" ht="15" hidden="0" customHeight="1">
      <x:c r="A7" s="65" t="str">
        <x:v>Indicador</x:v>
      </x:c>
      <x:c r="B7" s="65" t="str">
        <x:v>Valor</x:v>
      </x:c>
    </x:row>
    <x:row r="8" ht="15" hidden="0" customHeight="1">
      <x:c r="A8" s="58" t="str">
        <x:v>Total casos</x:v>
      </x:c>
      <x:c r="B8" s="58" t="n">
        <x:f>COUNTA('Casos de Prueba S8'!A2:A200)</x:f>
        <x:v>22</x:v>
      </x:c>
    </x:row>
    <x:row r="9" ht="15" hidden="0" customHeight="1">
      <x:c r="A9" s="58" t="str">
        <x:v>Completados</x:v>
      </x:c>
      <x:c r="B9" s="58" t="n">
        <x:f>COUNTIF('Casos de Prueba S8'!J2:J200,"Completado")</x:f>
        <x:v>15</x:v>
      </x:c>
    </x:row>
    <x:row r="10" ht="15" hidden="0" customHeight="1">
      <x:c r="A10" s="58" t="str">
        <x:v>Sprinteando</x:v>
      </x:c>
      <x:c r="B10" s="58" t="n">
        <x:f>COUNTIF('Casos de Prueba S8'!J2:J200,"Sprinteando")</x:f>
        <x:v>1</x:v>
      </x:c>
    </x:row>
    <x:row r="11" ht="15" hidden="0" customHeight="1">
      <x:c r="A11" s="58" t="str">
        <x:v>Parcialmente Completados</x:v>
      </x:c>
      <x:c r="B11" s="58" t="n">
        <x:f>COUNTIF('Casos de Prueba S8'!J2:J200,"Parcialmente Completado")</x:f>
        <x:v>0</x:v>
      </x:c>
    </x:row>
    <x:row r="12" ht="15" hidden="0" customHeight="1">
      <x:c r="A12" s="58" t="str">
        <x:v>Por Sprintear</x:v>
      </x:c>
      <x:c r="B12" s="58" t="n">
        <x:f>COUNTIF('Casos de Prueba S8'!J2:J200,"Por Sprintear")</x:f>
        <x:v>6</x:v>
      </x:c>
    </x:row>
    <x:row r="13" ht="15" hidden="0" customHeight="1">
      <x:c r="A13" s="58" t="str">
        <x:v>ReSprintear</x:v>
      </x:c>
      <x:c r="B13" s="58" t="n">
        <x:f>COUNTIF('Casos de Prueba S8'!J2:J200,"ReSprintear")</x:f>
        <x:v>0</x:v>
      </x:c>
    </x:row>
    <x:row r="14" ht="15" hidden="0" customHeight="1">
      <x:c r="A14" s="58" t="str">
        <x:v>% logro observado</x:v>
      </x:c>
      <x:c r="B14" s="94" t="n">
        <x:f>IF(B8=0,0,(B9+0.6*B11+0.3*B10)/B8)</x:f>
        <x:v>0.6954545454545454</x:v>
      </x:c>
    </x:row>
    <x:row r="15" ht="15" hidden="0" customHeight="1">
      <x:c r="A15" t="str"/>
      <x:c r="B15" t="str"/>
    </x:row>
    <x:row r="16" ht="15" hidden="0" customHeight="1">
      <x:c r="A16" s="91" t="str">
        <x:v>Observaciones principales</x:v>
      </x:c>
      <x:c r="B16" s="91" t="str"/>
    </x:row>
    <x:row r="17" ht="15" hidden="0" customHeight="1">
      <x:c r="A17" s="59" t="str">
        <x:v>1</x:v>
      </x:c>
      <x:c r="B17" s="59" t="str">
        <x:v>Se incorporan pruebas de servicio web externo Open-Meteo.</x:v>
      </x:c>
    </x:row>
    <x:row r="18" ht="15" hidden="0" customHeight="1">
      <x:c r="A18" s="59" t="str">
        <x:v>2</x:v>
      </x:c>
      <x:c r="B18" s="59" t="str">
        <x:v>Se incorporan pruebas de endpoints JSON para consumo externo.</x:v>
      </x:c>
    </x:row>
    <x:row r="19" ht="15" hidden="0" customHeight="1">
      <x:c r="A19" s="59" t="str">
        <x:v>3</x:v>
      </x:c>
      <x:c r="B19" s="59" t="str">
        <x:v>Se incorporan pruebas de creación/reutilización de cliente por correo.</x:v>
      </x:c>
    </x:row>
    <x:row r="20" ht="15" hidden="0" customHeight="1">
      <x:c r="A20" s="59" t="str">
        <x:v>4</x:v>
      </x:c>
      <x:c r="B20" s="59" t="str">
        <x:v>Se mantiene observación por reservas antiguas con saldo_pendiente inconsistente.</x:v>
      </x:c>
    </x:row>
    <x:row r="21" ht="24.4140625" hidden="0" customHeight="1">
      <x:c r="A21" s="59" t="str">
        <x:v>5</x:v>
      </x:c>
      <x:c r="B21" s="59" t="str">
        <x:v>Los casos de cierre documental quedan como Por Sprintear hasta completar DOD, Manual, Trello, GitHub y videos.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42" hidden="0" customWidth="1"/>
    <x:col min="6" max="6" width="32" hidden="0" customWidth="1"/>
    <x:col min="7" max="7" width="45" hidden="0" customWidth="1"/>
    <x:col min="8" max="8" width="38" hidden="0" customWidth="1"/>
    <x:col min="9" max="9" width="42" hidden="0" customWidth="1"/>
    <x:col min="10" max="10" width="20" hidden="0" customWidth="1"/>
    <x:col min="11" max="11" width="16" hidden="0" customWidth="1"/>
    <x:col min="12" max="12" width="16" hidden="0" customWidth="1"/>
    <x:col min="13" max="13" width="36" hidden="0" customWidth="1"/>
    <x:col min="14" max="14" width="42" hidden="0" customWidth="1"/>
  </x:cols>
  <x:sheetData>
    <x:row r="1" ht="15" hidden="0" customHeight="1">
      <x:c r="A1" s="13" t="str">
        <x:v>ID</x:v>
      </x:c>
      <x:c r="B1" s="14" t="str">
        <x:v>Épica / HU</x:v>
      </x:c>
      <x:c r="C1" s="14" t="str">
        <x:v>Área</x:v>
      </x:c>
      <x:c r="D1" s="14" t="str">
        <x:v>Funcionalidad</x:v>
      </x:c>
      <x:c r="E1" s="14" t="str">
        <x:v>Descripción</x:v>
      </x:c>
      <x:c r="F1" s="14" t="str">
        <x:v>Datos de entrada</x:v>
      </x:c>
      <x:c r="G1" s="14" t="str">
        <x:v>Pasos de ejecución</x:v>
      </x:c>
      <x:c r="H1" s="14" t="str">
        <x:v>Resultado esperado</x:v>
      </x:c>
      <x:c r="I1" s="14" t="str">
        <x:v>Resultado real</x:v>
      </x:c>
      <x:c r="J1" s="14" t="str">
        <x:v>Estado</x:v>
      </x:c>
      <x:c r="K1" s="14" t="str">
        <x:v>Responsable</x:v>
      </x:c>
      <x:c r="L1" s="14" t="str">
        <x:v>Fecha ejecución</x:v>
      </x:c>
      <x:c r="M1" s="14" t="str">
        <x:v>Evidencia asociada</x:v>
      </x:c>
      <x:c r="N1" s="15" t="str">
        <x:v>Observaciones</x:v>
      </x:c>
    </x:row>
    <x:row r="2" ht="48.828125" hidden="0" customHeight="1">
      <x:c r="A2" s="32" t="str">
        <x:v>CP-S8-01</x:v>
      </x:c>
      <x:c r="B2" s="32" t="str">
        <x:v>Épica 0 / HU-00</x:v>
      </x:c>
      <x:c r="C2" s="32" t="str">
        <x:v>Front-end</x:v>
      </x:c>
      <x:c r="D2" s="32" t="str">
        <x:v>Página principal Semana 8</x:v>
      </x:c>
      <x:c r="E2" s="32" t="str">
        <x:v>Verificar que la página principal del release Semana 8 cargue correctamente.</x:v>
      </x:c>
      <x:c r="F2" s="32" t="str">
        <x:v>URL: http://127.0.0.1:5000/</x:v>
      </x:c>
      <x:c r="G2" s="32" t="str">
        <x:v>1. Ejecutar la app Flask.
2. Abrir la URL principal.
3. Revisar encabezado, navegación y contenido del release.</x:v>
      </x:c>
      <x:c r="H2" s="32" t="str">
        <x:v>Se visualiza la página principal identificada como release Semana 8.</x:v>
      </x:c>
      <x:c r="I2" s="32" t="str">
        <x:v>Completado. La pantalla inicial carga correctamente.</x:v>
      </x:c>
      <x:c r="J2" s="32" t="str">
        <x:v>Completado</x:v>
      </x:c>
      <x:c r="K2" s="32" t="str">
        <x:v>Equipo</x:v>
      </x:c>
      <x:c r="L2" s="32" t="str">
        <x:v>2026-05-01</x:v>
      </x:c>
      <x:c r="M2" s="32" t="str">
        <x:v>evidencia_hito1_inicio_s8.png</x:v>
      </x:c>
      <x:c r="N2" s="32" t="str">
        <x:v>La vista ya no contiene textos problemáticos de Semana 7.</x:v>
      </x:c>
    </x:row>
    <x:row r="3" ht="36.62109375" hidden="0" customHeight="1">
      <x:c r="A3" s="32" t="str">
        <x:v>CP-S8-02</x:v>
      </x:c>
      <x:c r="B3" s="32" t="str">
        <x:v>Épica 0 / BD</x:v>
      </x:c>
      <x:c r="C3" s="32" t="str">
        <x:v>Back-end / BD</x:v>
      </x:c>
      <x:c r="D3" s="32" t="str">
        <x:v>Verificación visual de BD</x:v>
      </x:c>
      <x:c r="E3" s="32" t="str">
        <x:v>Comprobar que la aplicación se conecta correctamente con SQLite mediante /health-db.</x:v>
      </x:c>
      <x:c r="F3" s="32" t="str">
        <x:v>Ruta: /health-db</x:v>
      </x:c>
      <x:c r="G3" s="32" t="str">
        <x:v>1. Abrir Verificar BD.
2. Revisar mensaje de conexión.
3. Confirmar tablas detectadas.</x:v>
      </x:c>
      <x:c r="H3" s="32" t="str">
        <x:v>El sistema muestra conexión correcta y lista las tablas principales.</x:v>
      </x:c>
      <x:c r="I3" s="32" t="str">
        <x:v>Completado. Se detectaron las tablas rol, usuario, cliente, tipo_habitacion, habitacion, tarifa, reserva, pago y ticket_qr.</x:v>
      </x:c>
      <x:c r="J3" s="32" t="str">
        <x:v>Completado</x:v>
      </x:c>
      <x:c r="K3" s="32" t="str">
        <x:v>Equipo</x:v>
      </x:c>
      <x:c r="L3" s="32" t="str">
        <x:v>2026-05-01</x:v>
      </x:c>
      <x:c r="M3" s="32" t="str">
        <x:v>evidencia_hito1_health_db_s8.png</x:v>
      </x:c>
      <x:c r="N3" s="32" t="str">
        <x:v>Evidencia de integración back-end/base de datos.</x:v>
      </x:c>
    </x:row>
    <x:row r="4" ht="48.828125" hidden="0" customHeight="1">
      <x:c r="A4" s="32" t="str">
        <x:v>CP-S8-03</x:v>
      </x:c>
      <x:c r="B4" s="32" t="str">
        <x:v>Épica 1 / HU-03</x:v>
      </x:c>
      <x:c r="C4" s="32" t="str">
        <x:v>Reserva</x:v>
      </x:c>
      <x:c r="D4" s="32" t="str">
        <x:v>Consulta de disponibilidad válida</x:v>
      </x:c>
      <x:c r="E4" s="32" t="str">
        <x:v>Validar que el usuario pueda consultar habitaciones disponibles con fechas y huéspedes válidos.</x:v>
      </x:c>
      <x:c r="F4" s="32" t="str">
        <x:v>Entrada: 2026-05-10
Salida: 2026-05-12
Huéspedes: 2</x:v>
      </x:c>
      <x:c r="G4" s="32" t="str">
        <x:v>1. Ir a Consultar disponibilidad.
2. Ingresar fechas válidas.
3. Ingresar huéspedes.
4. Buscar habitaciones.</x:v>
      </x:c>
      <x:c r="H4" s="32" t="str">
        <x:v>Se muestran habitaciones disponibles filtradas por fecha y capacidad.</x:v>
      </x:c>
      <x:c r="I4" s="32" t="str">
        <x:v>Completado. La consulta devuelve habitaciones disponibles.</x:v>
      </x:c>
      <x:c r="J4" s="32" t="str">
        <x:v>Completado</x:v>
      </x:c>
      <x:c r="K4" s="32" t="str">
        <x:v>Equipo</x:v>
      </x:c>
      <x:c r="L4" s="32" t="str">
        <x:v>2026-05-01</x:v>
      </x:c>
      <x:c r="M4" s="32" t="str">
        <x:v>evidencia_hito1_consulta_disponibilidad_s8.png</x:v>
      </x:c>
      <x:c r="N4" s="32" t="str"/>
    </x:row>
    <x:row r="5" ht="36.62109375" hidden="0" customHeight="1">
      <x:c r="A5" s="32" t="str">
        <x:v>CP-S8-04</x:v>
      </x:c>
      <x:c r="B5" s="32" t="str">
        <x:v>Épica 1 / HU-03</x:v>
      </x:c>
      <x:c r="C5" s="32" t="str">
        <x:v>Validación</x:v>
      </x:c>
      <x:c r="D5" s="32" t="str">
        <x:v>Fechas inválidas en disponibilidad</x:v>
      </x:c>
      <x:c r="E5" s="32" t="str">
        <x:v>Verificar que el sistema rechace una fecha de salida anterior a la fecha de entrada.</x:v>
      </x:c>
      <x:c r="F5" s="32" t="str">
        <x:v>Entrada: 2026-05-12
Salida: 2026-05-10
Huéspedes: 2</x:v>
      </x:c>
      <x:c r="G5" s="32" t="str">
        <x:v>1. Ingresar fecha de salida menor que entrada.
2. Ejecutar búsqueda.</x:v>
      </x:c>
      <x:c r="H5" s="32" t="str">
        <x:v>El sistema muestra error y no ejecuta la consulta.</x:v>
      </x:c>
      <x:c r="I5" s="32" t="str">
        <x:v>Completado. Mensaje: La fecha de salida debe ser posterior a la fecha de entrada.</x:v>
      </x:c>
      <x:c r="J5" s="32" t="str">
        <x:v>Completado</x:v>
      </x:c>
      <x:c r="K5" s="32" t="str">
        <x:v>Equipo</x:v>
      </x:c>
      <x:c r="L5" s="32" t="str">
        <x:v>2026-05-01</x:v>
      </x:c>
      <x:c r="M5" s="32" t="str">
        <x:v>evidencia_hito3_api_disponibilidad_error_s8.png</x:v>
      </x:c>
      <x:c r="N5" s="32" t="str">
        <x:v>También validado desde endpoint JSON.</x:v>
      </x:c>
    </x:row>
    <x:row r="6" ht="48.828125" hidden="0" customHeight="1">
      <x:c r="A6" s="32" t="str">
        <x:v>CP-S8-05</x:v>
      </x:c>
      <x:c r="B6" s="32" t="str">
        <x:v>Épica 1 / HU-08</x:v>
      </x:c>
      <x:c r="C6" s="32" t="str">
        <x:v>Reserva</x:v>
      </x:c>
      <x:c r="D6" s="32" t="str">
        <x:v>Registro de reserva con datos de contacto</x:v>
      </x:c>
      <x:c r="E6" s="32" t="str">
        <x:v>Comprobar que el formulario permita registrar reserva con nombre, correo y teléfono.</x:v>
      </x:c>
      <x:c r="F6" s="32" t="str">
        <x:v>Nombre: Cliente Hito 4
Correo: cliente.hito4@correo.cl
Teléfono: +56 9 4444 4444</x:v>
      </x:c>
      <x:c r="G6" s="32" t="str">
        <x:v>1. Consultar disponibilidad.
2. Seleccionar habitación.
3. Completar datos de contacto.
4. Confirmar reserva.</x:v>
      </x:c>
      <x:c r="H6" s="32" t="str">
        <x:v>La reserva se registra y redirige a confirmación.</x:v>
      </x:c>
      <x:c r="I6" s="32" t="str">
        <x:v>Completado. Se registró reserva id_reserva 7.</x:v>
      </x:c>
      <x:c r="J6" s="32" t="str">
        <x:v>Completado</x:v>
      </x:c>
      <x:c r="K6" s="32" t="str">
        <x:v>Equipo</x:v>
      </x:c>
      <x:c r="L6" s="32" t="str">
        <x:v>2026-05-01</x:v>
      </x:c>
      <x:c r="M6" s="32" t="str">
        <x:v>evidencia_hito4_formulario_reserva_cliente_s8.png</x:v>
      </x:c>
      <x:c r="N6" s="32" t="str">
        <x:v>La prueba valida el flujo principal del usuario.</x:v>
      </x:c>
    </x:row>
    <x:row r="7" ht="36.62109375" hidden="0" customHeight="1">
      <x:c r="A7" s="32" t="str">
        <x:v>CP-S8-06</x:v>
      </x:c>
      <x:c r="B7" s="32" t="str">
        <x:v>Épica 2 / HU Cliente</x:v>
      </x:c>
      <x:c r="C7" s="32" t="str">
        <x:v>Cliente / BD</x:v>
      </x:c>
      <x:c r="D7" s="32" t="str">
        <x:v>Creación o reutilización de cliente por correo</x:v>
      </x:c>
      <x:c r="E7" s="32" t="str">
        <x:v>Validar que el sistema busque o cree cliente a partir del correo ingresado.</x:v>
      </x:c>
      <x:c r="F7" s="32" t="str">
        <x:v>Correo: cliente.hito4@correo.cl</x:v>
      </x:c>
      <x:c r="G7" s="32" t="str">
        <x:v>1. Ejecutar reserva con correo de prueba.
2. Revisar tabla usuario y cliente.
3. Confirmar id_cliente asociado.</x:v>
      </x:c>
      <x:c r="H7" s="32" t="str">
        <x:v>Si el correo no existe, se crea usuario y cliente; si existe, se reutiliza.</x:v>
      </x:c>
      <x:c r="I7" s="32" t="str">
        <x:v>Completado. Se creó/reutilizó id_cliente 5 e id_usuario 7.</x:v>
      </x:c>
      <x:c r="J7" s="32" t="str">
        <x:v>Completado</x:v>
      </x:c>
      <x:c r="K7" s="32" t="str">
        <x:v>Equipo</x:v>
      </x:c>
      <x:c r="L7" s="32" t="str">
        <x:v>2026-05-01</x:v>
      </x:c>
      <x:c r="M7" s="32" t="str">
        <x:v>evidencia_hito4_cliente_creado_sqlite_s8.png</x:v>
      </x:c>
      <x:c r="N7" s="32" t="str">
        <x:v>El formulario no solicita RUT; se genera RUT temporal controlado en ambiente de pruebas.</x:v>
      </x:c>
    </x:row>
    <x:row r="8" ht="36.62109375" hidden="0" customHeight="1">
      <x:c r="A8" s="32" t="str">
        <x:v>CP-S8-07</x:v>
      </x:c>
      <x:c r="B8" s="32" t="str">
        <x:v>Épica 1 / BD</x:v>
      </x:c>
      <x:c r="C8" s="32" t="str">
        <x:v>Reserva / BD</x:v>
      </x:c>
      <x:c r="D8" s="32" t="str">
        <x:v>Reserva asociada a cliente real</x:v>
      </x:c>
      <x:c r="E8" s="32" t="str">
        <x:v>Confirmar que la reserva ya no usa cliente fijo de prueba y queda asociada al id_cliente real.</x:v>
      </x:c>
      <x:c r="F8" s="32" t="str">
        <x:v>id_cliente esperado: 5
id_reserva esperado: 7</x:v>
      </x:c>
      <x:c r="G8" s="32" t="str">
        <x:v>1. Registrar reserva.
2. Consultar últimas reservas en SQLite.
3. Verificar id_cliente.</x:v>
      </x:c>
      <x:c r="H8" s="32" t="str">
        <x:v>La nueva reserva queda asociada al id_cliente creado/reutilizado.</x:v>
      </x:c>
      <x:c r="I8" s="32" t="str">
        <x:v>Completado. id_reserva 7 quedó asociado a id_cliente 5.</x:v>
      </x:c>
      <x:c r="J8" s="32" t="str">
        <x:v>Completado</x:v>
      </x:c>
      <x:c r="K8" s="32" t="str">
        <x:v>Equipo</x:v>
      </x:c>
      <x:c r="L8" s="32" t="str">
        <x:v>2026-05-01</x:v>
      </x:c>
      <x:c r="M8" s="32" t="str">
        <x:v>evidencia_hito4_reserva_cliente_real_s8.png</x:v>
      </x:c>
      <x:c r="N8" s="32" t="str">
        <x:v>Se elimina la dependencia de id_cliente_demo = 1 en el flujo actual.</x:v>
      </x:c>
    </x:row>
    <x:row r="9" ht="24.4140625" hidden="0" customHeight="1">
      <x:c r="A9" s="32" t="str">
        <x:v>CP-S8-08</x:v>
      </x:c>
      <x:c r="B9" s="32" t="str">
        <x:v>Épica 1 / HU-08</x:v>
      </x:c>
      <x:c r="C9" s="32" t="str">
        <x:v>Front-end</x:v>
      </x:c>
      <x:c r="D9" s="32" t="str">
        <x:v>Confirmación con cliente asociado</x:v>
      </x:c>
      <x:c r="E9" s="32" t="str">
        <x:v>Verificar que la pantalla de confirmación muestre los datos del cliente asociado.</x:v>
      </x:c>
      <x:c r="F9" s="32" t="str">
        <x:v>URL: /confirmacion/7</x:v>
      </x:c>
      <x:c r="G9" s="32" t="str">
        <x:v>1. Abrir confirmación de reserva.
2. Revisar sección Cliente asociado.</x:v>
      </x:c>
      <x:c r="H9" s="32" t="str">
        <x:v>Se muestran nombre, correo, teléfono e ID cliente.</x:v>
      </x:c>
      <x:c r="I9" s="32" t="str">
        <x:v>Completado. La confirmación muestra Cliente Hito 4, correo, teléfono e id_cliente 5.</x:v>
      </x:c>
      <x:c r="J9" s="32" t="str">
        <x:v>Completado</x:v>
      </x:c>
      <x:c r="K9" s="32" t="str">
        <x:v>Equipo</x:v>
      </x:c>
      <x:c r="L9" s="32" t="str">
        <x:v>2026-05-01</x:v>
      </x:c>
      <x:c r="M9" s="32" t="str">
        <x:v>evidencia_hito5_confirmacion_cliente_s8.png</x:v>
      </x:c>
      <x:c r="N9" s="32" t="str"/>
    </x:row>
    <x:row r="10" ht="36.62109375" hidden="0" customHeight="1">
      <x:c r="A10" s="32" t="str">
        <x:v>CP-S8-09</x:v>
      </x:c>
      <x:c r="B10" s="32" t="str">
        <x:v>Épica Admin</x:v>
      </x:c>
      <x:c r="C10" s="32" t="str">
        <x:v>Admin / Front-end</x:v>
      </x:c>
      <x:c r="D10" s="32" t="str">
        <x:v>Panel administrador con cliente</x:v>
      </x:c>
      <x:c r="E10" s="32" t="str">
        <x:v>Verificar que el panel administrador muestre cliente, correo y teléfono junto con datos de reserva.</x:v>
      </x:c>
      <x:c r="F10" s="32" t="str">
        <x:v>URL: /admin/reservas</x:v>
      </x:c>
      <x:c r="G10" s="32" t="str">
        <x:v>1. Abrir panel administrador.
2. Revisar columnas Cliente, Correo y Teléfono.
3. Confirmar reserva id 7.</x:v>
      </x:c>
      <x:c r="H10" s="32" t="str">
        <x:v>La tabla muestra datos de reserva y cliente asociado.</x:v>
      </x:c>
      <x:c r="I10" s="32" t="str">
        <x:v>Completado. El panel muestra Cliente Hito 4 y sus datos de contacto.</x:v>
      </x:c>
      <x:c r="J10" s="32" t="str">
        <x:v>Completado</x:v>
      </x:c>
      <x:c r="K10" s="32" t="str">
        <x:v>Equipo</x:v>
      </x:c>
      <x:c r="L10" s="32" t="str">
        <x:v>2026-05-01</x:v>
      </x:c>
      <x:c r="M10" s="32" t="str">
        <x:v>evidencia_hito5_panel_admin_cliente_s8.png</x:v>
      </x:c>
      <x:c r="N10" s="32" t="str">
        <x:v>La tabla usa scroll horizontal por cantidad de columnas.</x:v>
      </x:c>
    </x:row>
    <x:row r="11" ht="36.62109375" hidden="0" customHeight="1">
      <x:c r="A11" s="32" t="str">
        <x:v>CP-S8-10</x:v>
      </x:c>
      <x:c r="B11" s="32" t="str">
        <x:v>Épica 4 / Integración</x:v>
      </x:c>
      <x:c r="C11" s="32" t="str">
        <x:v>API externa / Front-end</x:v>
      </x:c>
      <x:c r="D11" s="32" t="str">
        <x:v>Vista /destino con Open-Meteo</x:v>
      </x:c>
      <x:c r="E11" s="32" t="str">
        <x:v>Validar que la vista Información del destino consuma servicio web externo y muestre clima.</x:v>
      </x:c>
      <x:c r="F11" s="32" t="str">
        <x:v>Ruta: /destino
Servicio: Open-Meteo</x:v>
      </x:c>
      <x:c r="G11" s="32" t="str">
        <x:v>1. Abrir /destino.
2. Revisar mensaje de éxito.
3. Revisar temperatura, viento, condición y fuente.</x:v>
      </x:c>
      <x:c r="H11" s="32" t="str">
        <x:v>La vista muestra datos climáticos actuales del destino.</x:v>
      </x:c>
      <x:c r="I11" s="32" t="str">
        <x:v>Completado. Se visualizó clima de Valparaíso desde Open-Meteo.</x:v>
      </x:c>
      <x:c r="J11" s="32" t="str">
        <x:v>Completado</x:v>
      </x:c>
      <x:c r="K11" s="32" t="str">
        <x:v>Equipo</x:v>
      </x:c>
      <x:c r="L11" s="32" t="str">
        <x:v>2026-05-01</x:v>
      </x:c>
      <x:c r="M11" s="32" t="str">
        <x:v>evidencia_hito2_clima_destino_s8.png</x:v>
      </x:c>
      <x:c r="N11" s="32" t="str">
        <x:v>Requiere conexión a internet.</x:v>
      </x:c>
    </x:row>
    <x:row r="12" ht="36.62109375" hidden="0" customHeight="1">
      <x:c r="A12" s="32" t="str">
        <x:v>CP-S8-11</x:v>
      </x:c>
      <x:c r="B12" s="32" t="str">
        <x:v>Épica 4 / API</x:v>
      </x:c>
      <x:c r="C12" s="32" t="str">
        <x:v>API JSON</x:v>
      </x:c>
      <x:c r="D12" s="32" t="str">
        <x:v>Endpoint /api/health</x:v>
      </x:c>
      <x:c r="E12" s="32" t="str">
        <x:v>Verificar respuesta JSON de estado de aplicación y conexión a base de datos.</x:v>
      </x:c>
      <x:c r="F12" s="32" t="str">
        <x:v>URL: /api/health</x:v>
      </x:c>
      <x:c r="G12" s="32" t="str">
        <x:v>1. Abrir endpoint en navegador.
2. Revisar ok=true.
3. Confirmar listado de tablas.</x:v>
      </x:c>
      <x:c r="H12" s="32" t="str">
        <x:v>El endpoint devuelve JSON con estado y tablas detectadas.</x:v>
      </x:c>
      <x:c r="I12" s="32" t="str">
        <x:v>Completado. El endpoint devuelve ok=true y tablas de SQLite.</x:v>
      </x:c>
      <x:c r="J12" s="32" t="str">
        <x:v>Completado</x:v>
      </x:c>
      <x:c r="K12" s="32" t="str">
        <x:v>Equipo</x:v>
      </x:c>
      <x:c r="L12" s="32" t="str">
        <x:v>2026-05-01</x:v>
      </x:c>
      <x:c r="M12" s="32" t="str">
        <x:v>evidencia_hito3_api_health_s8.png</x:v>
      </x:c>
      <x:c r="N12" s="32" t="str"/>
    </x:row>
    <x:row r="13" ht="36.62109375" hidden="0" customHeight="1">
      <x:c r="A13" s="32" t="str">
        <x:v>CP-S8-12</x:v>
      </x:c>
      <x:c r="B13" s="32" t="str">
        <x:v>Épica 4 / API</x:v>
      </x:c>
      <x:c r="C13" s="32" t="str">
        <x:v>API JSON</x:v>
      </x:c>
      <x:c r="D13" s="32" t="str">
        <x:v>Endpoint /api/reservas</x:v>
      </x:c>
      <x:c r="E13" s="32" t="str">
        <x:v>Verificar que las reservas se expongan en formato JSON.</x:v>
      </x:c>
      <x:c r="F13" s="32" t="str">
        <x:v>URL: /api/reservas</x:v>
      </x:c>
      <x:c r="G13" s="32" t="str">
        <x:v>1. Abrir endpoint.
2. Revisar cantidad.
3. Revisar datos de reserva y cliente.</x:v>
      </x:c>
      <x:c r="H13" s="32" t="str">
        <x:v>El endpoint devuelve lista de reservas registradas.</x:v>
      </x:c>
      <x:c r="I13" s="32" t="str">
        <x:v>Completado. Se expusieron reservas en JSON.</x:v>
      </x:c>
      <x:c r="J13" s="32" t="str">
        <x:v>Completado</x:v>
      </x:c>
      <x:c r="K13" s="32" t="str">
        <x:v>Equipo</x:v>
      </x:c>
      <x:c r="L13" s="32" t="str">
        <x:v>2026-05-01</x:v>
      </x:c>
      <x:c r="M13" s="32" t="str">
        <x:v>evidencia_hito3_api_reservas_s8.png</x:v>
      </x:c>
      <x:c r="N13" s="32" t="str">
        <x:v>Se observan datos antiguos con saldo_pendiente inconsistente; el endpoint muestra fielmente la BD.</x:v>
      </x:c>
    </x:row>
    <x:row r="14" ht="36.62109375" hidden="0" customHeight="1">
      <x:c r="A14" s="32" t="str">
        <x:v>CP-S8-13</x:v>
      </x:c>
      <x:c r="B14" s="32" t="str">
        <x:v>Épica 4 / API</x:v>
      </x:c>
      <x:c r="C14" s="32" t="str">
        <x:v>API JSON</x:v>
      </x:c>
      <x:c r="D14" s="32" t="str">
        <x:v>Endpoint /api/disponibilidad válido</x:v>
      </x:c>
      <x:c r="E14" s="32" t="str">
        <x:v>Verificar que la API de disponibilidad responda correctamente con parámetros válidos.</x:v>
      </x:c>
      <x:c r="F14" s="32" t="str">
        <x:v>fecha_check_in=2026-05-10
fecha_check_out=2026-05-12
cantidad_huespedes=2</x:v>
      </x:c>
      <x:c r="G14" s="32" t="str">
        <x:v>1. Abrir endpoint con parámetros válidos.
2. Revisar ok=true.
3. Revisar habitaciones devueltas.</x:v>
      </x:c>
      <x:c r="H14" s="32" t="str">
        <x:v>La API devuelve habitaciones disponibles y cantidad_resultados.</x:v>
      </x:c>
      <x:c r="I14" s="32" t="str">
        <x:v>Completado. La API devolvió 5 habitaciones disponibles.</x:v>
      </x:c>
      <x:c r="J14" s="32" t="str">
        <x:v>Completado</x:v>
      </x:c>
      <x:c r="K14" s="32" t="str">
        <x:v>Equipo</x:v>
      </x:c>
      <x:c r="L14" s="32" t="str">
        <x:v>2026-05-01</x:v>
      </x:c>
      <x:c r="M14" s="32" t="str">
        <x:v>evidencia_hito3_api_disponibilidad_s8.png</x:v>
      </x:c>
      <x:c r="N14" s="32" t="str"/>
    </x:row>
    <x:row r="15" ht="36.62109375" hidden="0" customHeight="1">
      <x:c r="A15" s="32" t="str">
        <x:v>CP-S8-14</x:v>
      </x:c>
      <x:c r="B15" s="32" t="str">
        <x:v>Épica 4 / API</x:v>
      </x:c>
      <x:c r="C15" s="32" t="str">
        <x:v>API JSON</x:v>
      </x:c>
      <x:c r="D15" s="32" t="str">
        <x:v>Endpoint /api/disponibilidad con error</x:v>
      </x:c>
      <x:c r="E15" s="32" t="str">
        <x:v>Verificar error controlado cuando se entregan fechas inválidas.</x:v>
      </x:c>
      <x:c r="F15" s="32" t="str">
        <x:v>fecha_check_in=2026-05-12
fecha_check_out=2026-05-10
cantidad_huespedes=2</x:v>
      </x:c>
      <x:c r="G15" s="32" t="str">
        <x:v>1. Abrir endpoint con salida anterior a entrada.
2. Revisar ok=false.
3. Revisar mensaje de error.</x:v>
      </x:c>
      <x:c r="H15" s="32" t="str">
        <x:v>La API devuelve JSON de error con parámetros recibidos.</x:v>
      </x:c>
      <x:c r="I15" s="32" t="str">
        <x:v>Completado. La API devuelve error controlado por fecha inválida.</x:v>
      </x:c>
      <x:c r="J15" s="32" t="str">
        <x:v>Completado</x:v>
      </x:c>
      <x:c r="K15" s="32" t="str">
        <x:v>Equipo</x:v>
      </x:c>
      <x:c r="L15" s="32" t="str">
        <x:v>2026-05-01</x:v>
      </x:c>
      <x:c r="M15" s="32" t="str">
        <x:v>evidencia_hito3_api_disponibilidad_error_s8.png</x:v>
      </x:c>
      <x:c r="N15" s="32" t="str"/>
    </x:row>
    <x:row r="16" ht="36.62109375" hidden="0" customHeight="1">
      <x:c r="A16" s="32" t="str">
        <x:v>CP-S8-15</x:v>
      </x:c>
      <x:c r="B16" s="32" t="str">
        <x:v>Épica 4 / API</x:v>
      </x:c>
      <x:c r="C16" s="32" t="str">
        <x:v>API JSON</x:v>
      </x:c>
      <x:c r="D16" s="32" t="str">
        <x:v>Endpoint /api/clima-destino</x:v>
      </x:c>
      <x:c r="E16" s="32" t="str">
        <x:v>Verificar que la integración climática también se exponga como JSON.</x:v>
      </x:c>
      <x:c r="F16" s="32" t="str">
        <x:v>URL: /api/clima-destino</x:v>
      </x:c>
      <x:c r="G16" s="32" t="str">
        <x:v>1. Abrir endpoint.
2. Revisar ok=true.
3. Revisar temperatura, condición y fuente.</x:v>
      </x:c>
      <x:c r="H16" s="32" t="str">
        <x:v>La API devuelve información climática en JSON.</x:v>
      </x:c>
      <x:c r="I16" s="32" t="str">
        <x:v>Completado. Se obtuvo clima desde Open-Meteo en formato JSON.</x:v>
      </x:c>
      <x:c r="J16" s="32" t="str">
        <x:v>Completado</x:v>
      </x:c>
      <x:c r="K16" s="32" t="str">
        <x:v>Equipo</x:v>
      </x:c>
      <x:c r="L16" s="32" t="str">
        <x:v>2026-05-01</x:v>
      </x:c>
      <x:c r="M16" s="32" t="str">
        <x:v>evidencia_hito3_api_clima_destino_s8.png</x:v>
      </x:c>
      <x:c r="N16" s="32" t="str">
        <x:v>Requiere conexión a internet.</x:v>
      </x:c>
    </x:row>
    <x:row r="17" ht="36.62109375" hidden="0" customHeight="1">
      <x:c r="A17" s="32" t="str">
        <x:v>CP-S8-16</x:v>
      </x:c>
      <x:c r="B17" s="32" t="str">
        <x:v>Épica 4 / Resiliencia</x:v>
      </x:c>
      <x:c r="C17" s="32" t="str">
        <x:v>API externa</x:v>
      </x:c>
      <x:c r="D17" s="32" t="str">
        <x:v>Manejo de error del servicio externo</x:v>
      </x:c>
      <x:c r="E17" s="32" t="str">
        <x:v>Validar comportamiento cuando Open-Meteo no responde o no hay internet.</x:v>
      </x:c>
      <x:c r="F17" s="32" t="str">
        <x:v>Simulación de falla de red o servicio externo no disponible.</x:v>
      </x:c>
      <x:c r="G17" s="32" t="str">
        <x:v>1. Desconectar internet o forzar error.
2. Abrir /destino o /api/clima-destino.
3. Revisar mensaje controlado.</x:v>
      </x:c>
      <x:c r="H17" s="32" t="str">
        <x:v>El sistema muestra error controlado sin romper la aplicación.</x:v>
      </x:c>
      <x:c r="I17" s="32" t="str">
        <x:v>Pendiente de ejecución final con evidencia.</x:v>
      </x:c>
      <x:c r="J17" s="32" t="str">
        <x:v>Por Sprintear</x:v>
      </x:c>
      <x:c r="K17" s="32" t="str">
        <x:v>Equipo</x:v>
      </x:c>
      <x:c r="L17" s="32" t="str">
        <x:v>Pendiente</x:v>
      </x:c>
      <x:c r="M17" s="32" t="str">
        <x:v>Pendiente</x:v>
      </x:c>
      <x:c r="N17" s="32" t="str">
        <x:v>La lógica existe en código, pero falta evidencia controlada de falla.</x:v>
      </x:c>
    </x:row>
    <x:row r="18" ht="36.62109375" hidden="0" customHeight="1">
      <x:c r="A18" s="32" t="str">
        <x:v>CP-S8-17</x:v>
      </x:c>
      <x:c r="B18" s="32" t="str">
        <x:v>Gestión / Evidencias</x:v>
      </x:c>
      <x:c r="C18" s="32" t="str">
        <x:v>Evidencias</x:v>
      </x:c>
      <x:c r="D18" s="32" t="str">
        <x:v>Consolidación de evidencias funcionales</x:v>
      </x:c>
      <x:c r="E18" s="32" t="str">
        <x:v>Validar que las evidencias de hitos funcionales estén guardadas en carpetas Semana 8.</x:v>
      </x:c>
      <x:c r="F18" s="32" t="str">
        <x:v>Carpeta: evidencias/semana8/</x:v>
      </x:c>
      <x:c r="G18" s="32" t="str">
        <x:v>1. Revisar carpetas frontend, backend, base_datos, api_externa y api_json.
2. Confirmar capturas principales.</x:v>
      </x:c>
      <x:c r="H18" s="32" t="str">
        <x:v>Las evidencias quedan disponibles y ordenadas.</x:v>
      </x:c>
      <x:c r="I18" s="32" t="str">
        <x:v>En proceso. Hay evidencias generadas por hitos, falta consolidación final.</x:v>
      </x:c>
      <x:c r="J18" s="32" t="str">
        <x:v>Sprinteando</x:v>
      </x:c>
      <x:c r="K18" s="32" t="str">
        <x:v>Equipo</x:v>
      </x:c>
      <x:c r="L18" s="32" t="str">
        <x:v>2026-05-01</x:v>
      </x:c>
      <x:c r="M18" s="32" t="str">
        <x:v>Carpeta evidencias/semana8/</x:v>
      </x:c>
      <x:c r="N18" s="32" t="str">
        <x:v>Se completa antes de ZIP final.</x:v>
      </x:c>
    </x:row>
    <x:row r="19" ht="36.62109375" hidden="0" customHeight="1">
      <x:c r="A19" s="32" t="str">
        <x:v>CP-S8-18</x:v>
      </x:c>
      <x:c r="B19" s="32" t="str">
        <x:v>Gestión / GitHub</x:v>
      </x:c>
      <x:c r="C19" s="32" t="str">
        <x:v>Versionamiento</x:v>
      </x:c>
      <x:c r="D19" s="32" t="str">
        <x:v>Repositorio GitHub actualizado</x:v>
      </x:c>
      <x:c r="E19" s="32" t="str">
        <x:v>Validar que el repositorio público contenga el código actualizado del release Semana 8.</x:v>
      </x:c>
      <x:c r="F19" s="32" t="str">
        <x:v>Repositorio GitHub del proyecto.</x:v>
      </x:c>
      <x:c r="G19" s="32" t="str">
        <x:v>1. Revisar git status.
2. Confirmar commits por hito.
3. Confirmar push a repositorio público.</x:v>
      </x:c>
      <x:c r="H19" s="32" t="str">
        <x:v>El repositorio queda público y actualizado.</x:v>
      </x:c>
      <x:c r="I19" s="32" t="str">
        <x:v>Pendiente de cierre final.</x:v>
      </x:c>
      <x:c r="J19" s="32" t="str">
        <x:v>Por Sprintear</x:v>
      </x:c>
      <x:c r="K19" s="32" t="str">
        <x:v>Equipo</x:v>
      </x:c>
      <x:c r="L19" s="32" t="str">
        <x:v>Pendiente</x:v>
      </x:c>
      <x:c r="M19" s="32" t="str">
        <x:v>Pendiente</x:v>
      </x:c>
      <x:c r="N19" s="32" t="str">
        <x:v>Debe completarse antes de entrega AVA.</x:v>
      </x:c>
    </x:row>
    <x:row r="20" ht="36.62109375" hidden="0" customHeight="1">
      <x:c r="A20" s="32" t="str">
        <x:v>CP-S8-19</x:v>
      </x:c>
      <x:c r="B20" s="32" t="str">
        <x:v>Gestión / Trello</x:v>
      </x:c>
      <x:c r="C20" s="32" t="str">
        <x:v>Scrum</x:v>
      </x:c>
      <x:c r="D20" s="32" t="str">
        <x:v>Tablero Trello actualizado</x:v>
      </x:c>
      <x:c r="E20" s="32" t="str">
        <x:v>Validar que el tablero Trello refleje tareas, responsables y evidencias de Semana 8.</x:v>
      </x:c>
      <x:c r="F20" s="32" t="str">
        <x:v>Tablero Trello del proyecto.</x:v>
      </x:c>
      <x:c r="G20" s="32" t="str">
        <x:v>1. Revisar tarjetas del sprint.
2. Actualizar estados.
3. Adjuntar evidencias y links.</x:v>
      </x:c>
      <x:c r="H20" s="32" t="str">
        <x:v>El tablero muestra el estado real del sprint-review.</x:v>
      </x:c>
      <x:c r="I20" s="32" t="str">
        <x:v>Pendiente de actualización final.</x:v>
      </x:c>
      <x:c r="J20" s="32" t="str">
        <x:v>Por Sprintear</x:v>
      </x:c>
      <x:c r="K20" s="32" t="str">
        <x:v>Equipo</x:v>
      </x:c>
      <x:c r="L20" s="32" t="str">
        <x:v>Pendiente</x:v>
      </x:c>
      <x:c r="M20" s="32" t="str">
        <x:v>Pendiente</x:v>
      </x:c>
      <x:c r="N20" s="32" t="str">
        <x:v>Debe incluir links de video, GitHub y evidencias.</x:v>
      </x:c>
    </x:row>
    <x:row r="21" ht="36.62109375" hidden="0" customHeight="1">
      <x:c r="A21" s="32" t="str">
        <x:v>CP-S8-20</x:v>
      </x:c>
      <x:c r="B21" s="32" t="str">
        <x:v>Calidad / DONE</x:v>
      </x:c>
      <x:c r="C21" s="32" t="str">
        <x:v>DOD</x:v>
      </x:c>
      <x:c r="D21" s="32" t="str">
        <x:v>Validación DOD Semana 8</x:v>
      </x:c>
      <x:c r="E21" s="32" t="str">
        <x:v>Aplicar Definition of Done del release Semana 8.</x:v>
      </x:c>
      <x:c r="F21" s="32" t="str">
        <x:v>Planilla DOD Semana 8.</x:v>
      </x:c>
      <x:c r="G21" s="32" t="str">
        <x:v>1. Revisar criterios DONE.
2. Marcar cumplimiento.
3. Registrar observaciones.</x:v>
      </x:c>
      <x:c r="H21" s="32" t="str">
        <x:v>El DOD refleja el estado real del release.</x:v>
      </x:c>
      <x:c r="I21" s="32" t="str">
        <x:v>Pendiente de ejecución.</x:v>
      </x:c>
      <x:c r="J21" s="32" t="str">
        <x:v>Por Sprintear</x:v>
      </x:c>
      <x:c r="K21" s="32" t="str">
        <x:v>Equipo</x:v>
      </x:c>
      <x:c r="L21" s="32" t="str">
        <x:v>Pendiente</x:v>
      </x:c>
      <x:c r="M21" s="32" t="str">
        <x:v>Pendiente</x:v>
      </x:c>
      <x:c r="N21" s="32" t="str">
        <x:v>Hito siguiente después de planilla de pruebas.</x:v>
      </x:c>
    </x:row>
    <x:row r="22" ht="36.62109375" hidden="0" customHeight="1">
      <x:c r="A22" s="32" t="str">
        <x:v>CP-S8-21</x:v>
      </x:c>
      <x:c r="B22" s="32" t="str">
        <x:v>Documentación</x:v>
      </x:c>
      <x:c r="C22" s="32" t="str">
        <x:v>Manual Testing</x:v>
      </x:c>
      <x:c r="D22" s="32" t="str">
        <x:v>Manual de Usuario Testing</x:v>
      </x:c>
      <x:c r="E22" s="32" t="str">
        <x:v>Validar que exista manual para que un usuario testing pueda ejecutar funcionalidades.</x:v>
      </x:c>
      <x:c r="F22" s="32" t="str">
        <x:v>Documento Manual de Usuario Testing S8.</x:v>
      </x:c>
      <x:c r="G22" s="32" t="str">
        <x:v>1. Revisar instrucciones de acceso.
2. Revisar flujos de prueba.
3. Confirmar tiempos y datos de usuario testing.</x:v>
      </x:c>
      <x:c r="H22" s="32" t="str">
        <x:v>El manual permite ejecutar pruebas sin instrucciones adicionales.</x:v>
      </x:c>
      <x:c r="I22" s="32" t="str">
        <x:v>Pendiente de elaboración.</x:v>
      </x:c>
      <x:c r="J22" s="32" t="str">
        <x:v>Por Sprintear</x:v>
      </x:c>
      <x:c r="K22" s="32" t="str">
        <x:v>Equipo</x:v>
      </x:c>
      <x:c r="L22" s="32" t="str">
        <x:v>Pendiente</x:v>
      </x:c>
      <x:c r="M22" s="32" t="str">
        <x:v>Pendiente</x:v>
      </x:c>
      <x:c r="N22" s="32" t="str">
        <x:v>Requerido por instrucciones y guía.</x:v>
      </x:c>
    </x:row>
    <x:row r="23" ht="36.62109375" hidden="0" customHeight="1">
      <x:c r="A23" s="32" t="str">
        <x:v>CP-S8-22</x:v>
      </x:c>
      <x:c r="B23" s="32" t="str">
        <x:v>Parte II</x:v>
      </x:c>
      <x:c r="C23" s="32" t="str">
        <x:v>Video / Presentación</x:v>
      </x:c>
      <x:c r="D23" s="32" t="str">
        <x:v>Videos demostrativos y Teams</x:v>
      </x:c>
      <x:c r="E23" s="32" t="str">
        <x:v>Validar que estén disponibles el video funcional y la presentación Teams.</x:v>
      </x:c>
      <x:c r="F23" s="32" t="str">
        <x:v>Links de video y grabación Teams.</x:v>
      </x:c>
      <x:c r="G23" s="32" t="str">
        <x:v>1. Grabar demo funcional.
2. Grabar presentación Teams.
3. Pegar links en Trello/documento.</x:v>
      </x:c>
      <x:c r="H23" s="32" t="str">
        <x:v>Los links quedan disponibles para revisión.</x:v>
      </x:c>
      <x:c r="I23" s="32" t="str">
        <x:v>Pendiente de grabación.</x:v>
      </x:c>
      <x:c r="J23" s="32" t="str">
        <x:v>Por Sprintear</x:v>
      </x:c>
      <x:c r="K23" s="32" t="str">
        <x:v>Equipo</x:v>
      </x:c>
      <x:c r="L23" s="32" t="str">
        <x:v>Pendiente</x:v>
      </x:c>
      <x:c r="M23" s="32" t="str">
        <x:v>Pendiente</x:v>
      </x:c>
      <x:c r="N23" s="32" t="str">
        <x:v>La instrucción exige video demo y presentación grupal.</x:v>
      </x:c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J2:J23">
    <x:cfRule type="containsText" dxfId="0" priority="1" operator="containsText" text="Completado"/>
    <x:cfRule type="containsText" dxfId="1" priority="2" operator="containsText" text="Sprinteando"/>
    <x:cfRule type="containsText" dxfId="2" priority="3" operator="containsText" text="Por Sprintear"/>
    <x:cfRule type="containsText" dxfId="3" priority="4" operator="containsText" text="ReSprintear"/>
    <x:cfRule type="containsText" dxfId="4" priority="5" operator="containsText" text="Parcialmente"/>
  </x:conditionalFormatting>
  <x:dataValidations count="1">
    <x:dataValidation type="list" allowBlank="0" showDropDown="0" sqref="J2:J23">
      <x:formula1>"Completado,Sprinteando,Parcialmente Completado,Por Sprintear,ReSprintear"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15" hidden="0" customHeight="1">
      <x:c r="A1" s="44" t="str">
        <x:v>Hito</x:v>
      </x:c>
      <x:c r="B1" s="45" t="str">
        <x:v>Evidencia</x:v>
      </x:c>
      <x:c r="C1" s="45" t="str">
        <x:v>Carpeta sugerida</x:v>
      </x:c>
      <x:c r="D1" s="45" t="str">
        <x:v>Estado</x:v>
      </x:c>
      <x:c r="E1" s="46" t="str">
        <x:v>Uso en pruebas</x:v>
      </x:c>
    </x:row>
    <x:row r="2" ht="15" hidden="0" customHeight="1">
      <x:c r="A2" s="60" t="str">
        <x:v>Hito 1</x:v>
      </x:c>
      <x:c r="B2" s="60" t="str">
        <x:v>evidencia_hito1_inicio_s8.png</x:v>
      </x:c>
      <x:c r="C2" s="60" t="str">
        <x:v>evidencias/semana8/frontend/</x:v>
      </x:c>
      <x:c r="D2" s="60" t="str">
        <x:v>Generada</x:v>
      </x:c>
      <x:c r="E2" s="60" t="str">
        <x:v>CP-S8-01</x:v>
      </x:c>
    </x:row>
    <x:row r="3" ht="15" hidden="0" customHeight="1">
      <x:c r="A3" s="60" t="str">
        <x:v>Hito 1</x:v>
      </x:c>
      <x:c r="B3" s="60" t="str">
        <x:v>evidencia_hito1_health_db_s8.png</x:v>
      </x:c>
      <x:c r="C3" s="60" t="str">
        <x:v>evidencias/semana8/base_datos/</x:v>
      </x:c>
      <x:c r="D3" s="60" t="str">
        <x:v>Generada</x:v>
      </x:c>
      <x:c r="E3" s="60" t="str">
        <x:v>CP-S8-02</x:v>
      </x:c>
    </x:row>
    <x:row r="4" ht="15" hidden="0" customHeight="1">
      <x:c r="A4" s="60" t="str">
        <x:v>Hito 1</x:v>
      </x:c>
      <x:c r="B4" s="60" t="str">
        <x:v>evidencia_hito1_consulta_disponibilidad_s8.png</x:v>
      </x:c>
      <x:c r="C4" s="60" t="str">
        <x:v>evidencias/semana8/frontend/</x:v>
      </x:c>
      <x:c r="D4" s="60" t="str">
        <x:v>Generada</x:v>
      </x:c>
      <x:c r="E4" s="60" t="str">
        <x:v>CP-S8-03</x:v>
      </x:c>
    </x:row>
    <x:row r="5" ht="15" hidden="0" customHeight="1">
      <x:c r="A5" s="60" t="str">
        <x:v>Hito 2</x:v>
      </x:c>
      <x:c r="B5" s="60" t="str">
        <x:v>evidencia_hito2_clima_destino_s8.png</x:v>
      </x:c>
      <x:c r="C5" s="60" t="str">
        <x:v>evidencias/semana8/api_externa/</x:v>
      </x:c>
      <x:c r="D5" s="60" t="str">
        <x:v>Generada</x:v>
      </x:c>
      <x:c r="E5" s="60" t="str">
        <x:v>CP-S8-10</x:v>
      </x:c>
    </x:row>
    <x:row r="6" ht="15" hidden="0" customHeight="1">
      <x:c r="A6" s="60" t="str">
        <x:v>Hito 3</x:v>
      </x:c>
      <x:c r="B6" s="60" t="str">
        <x:v>evidencia_hito3_api_health_s8.png</x:v>
      </x:c>
      <x:c r="C6" s="60" t="str">
        <x:v>evidencias/semana8/api_json/</x:v>
      </x:c>
      <x:c r="D6" s="60" t="str">
        <x:v>Generada</x:v>
      </x:c>
      <x:c r="E6" s="60" t="str">
        <x:v>CP-S8-11</x:v>
      </x:c>
    </x:row>
    <x:row r="7" ht="15" hidden="0" customHeight="1">
      <x:c r="A7" s="60" t="str">
        <x:v>Hito 3</x:v>
      </x:c>
      <x:c r="B7" s="60" t="str">
        <x:v>evidencia_hito3_api_reservas_s8.png</x:v>
      </x:c>
      <x:c r="C7" s="60" t="str">
        <x:v>evidencias/semana8/api_json/</x:v>
      </x:c>
      <x:c r="D7" s="60" t="str">
        <x:v>Generada</x:v>
      </x:c>
      <x:c r="E7" s="60" t="str">
        <x:v>CP-S8-12</x:v>
      </x:c>
    </x:row>
    <x:row r="8" ht="15" hidden="0" customHeight="1">
      <x:c r="A8" s="60" t="str">
        <x:v>Hito 3</x:v>
      </x:c>
      <x:c r="B8" s="60" t="str">
        <x:v>evidencia_hito3_api_disponibilidad_s8.png</x:v>
      </x:c>
      <x:c r="C8" s="60" t="str">
        <x:v>evidencias/semana8/api_json/</x:v>
      </x:c>
      <x:c r="D8" s="60" t="str">
        <x:v>Generada</x:v>
      </x:c>
      <x:c r="E8" s="60" t="str">
        <x:v>CP-S8-13</x:v>
      </x:c>
    </x:row>
    <x:row r="9" ht="15" hidden="0" customHeight="1">
      <x:c r="A9" s="60" t="str">
        <x:v>Hito 3</x:v>
      </x:c>
      <x:c r="B9" s="60" t="str">
        <x:v>evidencia_hito3_api_disponibilidad_error_s8.png</x:v>
      </x:c>
      <x:c r="C9" s="60" t="str">
        <x:v>evidencias/semana8/api_json/</x:v>
      </x:c>
      <x:c r="D9" s="60" t="str">
        <x:v>Generada</x:v>
      </x:c>
      <x:c r="E9" s="60" t="str">
        <x:v>CP-S8-14</x:v>
      </x:c>
    </x:row>
    <x:row r="10" ht="15" hidden="0" customHeight="1">
      <x:c r="A10" s="60" t="str">
        <x:v>Hito 3</x:v>
      </x:c>
      <x:c r="B10" s="60" t="str">
        <x:v>evidencia_hito3_api_clima_destino_s8.png</x:v>
      </x:c>
      <x:c r="C10" s="60" t="str">
        <x:v>evidencias/semana8/api_json/</x:v>
      </x:c>
      <x:c r="D10" s="60" t="str">
        <x:v>Generada</x:v>
      </x:c>
      <x:c r="E10" s="60" t="str">
        <x:v>CP-S8-15</x:v>
      </x:c>
    </x:row>
    <x:row r="11" ht="15" hidden="0" customHeight="1">
      <x:c r="A11" s="60" t="str">
        <x:v>Hito 4</x:v>
      </x:c>
      <x:c r="B11" s="60" t="str">
        <x:v>evidencia_hito4_cliente_creado_sqlite_s8.png</x:v>
      </x:c>
      <x:c r="C11" s="60" t="str">
        <x:v>evidencias/semana8/backend/</x:v>
      </x:c>
      <x:c r="D11" s="60" t="str">
        <x:v>Generada</x:v>
      </x:c>
      <x:c r="E11" s="60" t="str">
        <x:v>CP-S8-06</x:v>
      </x:c>
    </x:row>
    <x:row r="12" ht="15" hidden="0" customHeight="1">
      <x:c r="A12" s="60" t="str">
        <x:v>Hito 4</x:v>
      </x:c>
      <x:c r="B12" s="60" t="str">
        <x:v>evidencia_hito4_reserva_cliente_real_s8.png</x:v>
      </x:c>
      <x:c r="C12" s="60" t="str">
        <x:v>evidencias/semana8/base_datos/</x:v>
      </x:c>
      <x:c r="D12" s="60" t="str">
        <x:v>Generada</x:v>
      </x:c>
      <x:c r="E12" s="60" t="str">
        <x:v>CP-S8-07</x:v>
      </x:c>
    </x:row>
    <x:row r="13" ht="15" hidden="0" customHeight="1">
      <x:c r="A13" s="60" t="str">
        <x:v>Hito 5</x:v>
      </x:c>
      <x:c r="B13" s="60" t="str">
        <x:v>evidencia_hito5_confirmacion_cliente_s8.png</x:v>
      </x:c>
      <x:c r="C13" s="60" t="str">
        <x:v>evidencias/semana8/frontend/</x:v>
      </x:c>
      <x:c r="D13" s="60" t="str">
        <x:v>Generada</x:v>
      </x:c>
      <x:c r="E13" s="60" t="str">
        <x:v>CP-S8-08</x:v>
      </x:c>
    </x:row>
    <x:row r="14" ht="15" hidden="0" customHeight="1">
      <x:c r="A14" s="60" t="str">
        <x:v>Hito 5</x:v>
      </x:c>
      <x:c r="B14" s="60" t="str">
        <x:v>evidencia_hito5_panel_admin_cliente_s8.png</x:v>
      </x:c>
      <x:c r="C14" s="60" t="str">
        <x:v>evidencias/semana8/frontend/</x:v>
      </x:c>
      <x:c r="D14" s="60" t="str">
        <x:v>Generada</x:v>
      </x:c>
      <x:c r="E14" s="60" t="str">
        <x:v>CP-S8-09</x:v>
      </x:c>
    </x:row>
    <x:row r="15" ht="15" hidden="0" customHeight="1">
      <x:c r="A15" s="60" t="str">
        <x:v>Cierre</x:v>
      </x:c>
      <x:c r="B15" s="60" t="str">
        <x:v>GitHub actualizado</x:v>
      </x:c>
      <x:c r="C15" s="60" t="str">
        <x:v>Repositorio GitHub</x:v>
      </x:c>
      <x:c r="D15" s="60" t="str">
        <x:v>Pendiente</x:v>
      </x:c>
      <x:c r="E15" s="60" t="str">
        <x:v>CP-S8-18</x:v>
      </x:c>
    </x:row>
    <x:row r="16" ht="15" hidden="0" customHeight="1">
      <x:c r="A16" s="60" t="str">
        <x:v>Cierre</x:v>
      </x:c>
      <x:c r="B16" s="60" t="str">
        <x:v>Trello actualizado</x:v>
      </x:c>
      <x:c r="C16" s="60" t="str">
        <x:v>Tablero Trello</x:v>
      </x:c>
      <x:c r="D16" s="60" t="str">
        <x:v>Pendiente</x:v>
      </x:c>
      <x:c r="E16" s="60" t="str">
        <x:v>CP-S8-19</x:v>
      </x:c>
    </x:row>
    <x:row r="17" ht="15" hidden="0" customHeight="1">
      <x:c r="A17" s="60" t="str">
        <x:v>Cierre</x:v>
      </x:c>
      <x:c r="B17" s="60" t="str">
        <x:v>DOD Semana 8</x:v>
      </x:c>
      <x:c r="C17" s="60" t="str">
        <x:v>dod/</x:v>
      </x:c>
      <x:c r="D17" s="60" t="str">
        <x:v>Pendiente</x:v>
      </x:c>
      <x:c r="E17" s="60" t="str">
        <x:v>CP-S8-20</x:v>
      </x:c>
    </x:row>
    <x:row r="18" ht="15" hidden="0" customHeight="1">
      <x:c r="A18" s="60" t="str">
        <x:v>Cierre</x:v>
      </x:c>
      <x:c r="B18" s="60" t="str">
        <x:v>Manual de Usuario Testing</x:v>
      </x:c>
      <x:c r="C18" s="60" t="str">
        <x:v>docs/</x:v>
      </x:c>
      <x:c r="D18" s="60" t="str">
        <x:v>Pendiente</x:v>
      </x:c>
      <x:c r="E18" s="60" t="str">
        <x:v>CP-S8-21</x:v>
      </x:c>
    </x:row>
    <x:row r="19" ht="15" hidden="0" customHeight="1">
      <x:c r="A19" s="60" t="str">
        <x:v>Cierre</x:v>
      </x:c>
      <x:c r="B19" s="60" t="str">
        <x:v>Video funcional y Teams</x:v>
      </x:c>
      <x:c r="C19" s="60" t="str">
        <x:v>videos/ + links</x:v>
      </x:c>
      <x:c r="D19" s="60" t="str">
        <x:v>Pendiente</x:v>
      </x:c>
      <x:c r="E19" s="60" t="str">
        <x:v>CP-S8-22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5" hidden="0" customWidth="1"/>
  </x:cols>
  <x:sheetData>
    <x:row r="1" ht="15" hidden="0" customHeight="1">
      <x:c r="A1" s="69" t="str">
        <x:v>Estado</x:v>
      </x:c>
      <x:c r="B1" s="70" t="str">
        <x:v>Descripción</x:v>
      </x:c>
      <x:c r="C1" s="71" t="str">
        <x:v>Uso</x:v>
      </x:c>
    </x:row>
    <x:row r="2" ht="15" hidden="0" customHeight="1">
      <x:c r="A2" s="59" t="str">
        <x:v>Completado</x:v>
      </x:c>
      <x:c r="B2" s="59" t="str">
        <x:v>Prueba ejecutada y evidencia disponible.</x:v>
      </x:c>
      <x:c r="C2" s="59" t="str">
        <x:v>Casos funcionales ya validados.</x:v>
      </x:c>
    </x:row>
    <x:row r="3" ht="15" hidden="0" customHeight="1">
      <x:c r="A3" s="59" t="str">
        <x:v>Sprinteando</x:v>
      </x:c>
      <x:c r="B3" s="59" t="str">
        <x:v>Actividad en ejecución o evidencia parcial.</x:v>
      </x:c>
      <x:c r="C3" s="59" t="str">
        <x:v>Tareas en avance antes de cierre.</x:v>
      </x:c>
    </x:row>
    <x:row r="4" ht="15" hidden="0" customHeight="1">
      <x:c r="A4" s="59" t="str">
        <x:v>Parcialmente Completado</x:v>
      </x:c>
      <x:c r="B4" s="59" t="str">
        <x:v>Cumplimiento parcial con observaciones.</x:v>
      </x:c>
      <x:c r="C4" s="59" t="str">
        <x:v>Casos con brechas menores.</x:v>
      </x:c>
    </x:row>
    <x:row r="5" ht="15" hidden="0" customHeight="1">
      <x:c r="A5" s="59" t="str">
        <x:v>Por Sprintear</x:v>
      </x:c>
      <x:c r="B5" s="59" t="str">
        <x:v>Pendiente de ejecutar o documentar.</x:v>
      </x:c>
      <x:c r="C5" s="59" t="str">
        <x:v>Cierre de sprint, manual, DOD, videos.</x:v>
      </x:c>
    </x:row>
    <x:row r="6" ht="15" hidden="0" customHeight="1">
      <x:c r="A6" s="59" t="str">
        <x:v>ReSprintear</x:v>
      </x:c>
      <x:c r="B6" s="59" t="str">
        <x:v>Debe corregirse y volver a probar.</x:v>
      </x:c>
      <x:c r="C6" s="59" t="str">
        <x:v>Defectos o fallas que bloquean cumplimiento.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