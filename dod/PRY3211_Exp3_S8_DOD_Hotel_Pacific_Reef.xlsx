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ed51feb30b4c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D Semana 8" sheetId="1" r:id="Ra709c22af84149ba"/>
    <x:sheet xmlns:r="http://schemas.openxmlformats.org/officeDocument/2006/relationships" name="Evidencias S8" sheetId="2" r:id="R789b612a31384299"/>
    <x:sheet xmlns:r="http://schemas.openxmlformats.org/officeDocument/2006/relationships" name="Fuentes" sheetId="3" r:id="Rdbe2ff9787054d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9">
    <x:font>
      <x:sz val="11"/>
      <x:name val="Carlito"/>
    </x:font>
    <x:font>
      <x:b/>
      <x:sz val="16"/>
      <x:color rgb="1F2937"/>
      <x:name val="Calibri"/>
    </x:font>
    <x:font>
      <x:sz val="11"/>
      <x:name val="Calibri"/>
    </x:font>
    <x:font>
      <x:b/>
      <x:sz val="11"/>
      <x:name val="Calibri"/>
    </x:font>
    <x:font>
      <x:sz val="10"/>
      <x:color rgb="374151"/>
      <x:name val="Calibri"/>
    </x:font>
    <x:font>
      <x:b/>
      <x:sz val="11"/>
      <x:color rgb="1F2937"/>
      <x:name val="Carlito"/>
    </x:font>
    <x:font>
      <x:sz val="10"/>
      <x:name val="Calibri"/>
    </x:font>
    <x:font>
      <x:b/>
      <x:sz val="10"/>
      <x:name val="Calibri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EAF2F8"/>
      </x:patternFill>
    </x:fill>
    <x:fill>
      <x:patternFill patternType="solid">
        <x:fgColor rgb="F8FAFC"/>
      </x:patternFill>
    </x:fill>
    <x:fill>
      <x:patternFill patternType="solid">
        <x:fgColor rgb="FFF7ED"/>
      </x:patternFill>
    </x:fill>
    <x:fill>
      <x:patternFill patternType="solid">
        <x:fgColor rgb="D9EAF7"/>
      </x:patternFill>
    </x:fill>
    <x:fill>
      <x:patternFill patternType="solid">
        <x:fgColor rgb="DCFCE7"/>
      </x:patternFill>
    </x:fill>
    <x:fill>
      <x:patternFill patternType="solid">
        <x:fgColor rgb="FEE2E2"/>
      </x:patternFill>
    </x:fill>
    <x:fill>
      <x:patternFill patternType="solid">
        <x:fgColor rgb="E0F2FE"/>
      </x:patternFill>
    </x:fill>
  </x:fills>
  <x:borders count="64">
    <x:border/>
    <x:border/>
    <x:border>
      <x:left style="thin">
        <x:color rgb="B8C7D9"/>
      </x:left>
      <x:top style="thin">
        <x:color rgb="B8C7D9"/>
      </x:top>
      <x:bottom style="thin">
        <x:color rgb="B8C7D9"/>
      </x:bottom>
    </x:border>
    <x:border>
      <x:top style="thin">
        <x:color rgb="B8C7D9"/>
      </x:top>
      <x:bottom style="thin">
        <x:color rgb="B8C7D9"/>
      </x:bottom>
    </x:border>
    <x:border>
      <x:right style="thin">
        <x:color rgb="B8C7D9"/>
      </x:right>
      <x:top style="thin">
        <x:color rgb="B8C7D9"/>
      </x:top>
      <x:bottom style="thin">
        <x:color rgb="B8C7D9"/>
      </x:bottom>
    </x:border>
    <x:border>
      <x:left style="thin">
        <x:color rgb="B8C7D9"/>
      </x:left>
      <x:top style="thin">
        <x:color rgb="B8C7D9"/>
      </x:top>
      <x:bottom style="thin">
        <x:color rgb="B8C7D9"/>
      </x:bottom>
    </x:border>
    <x:border>
      <x:top style="thin">
        <x:color rgb="B8C7D9"/>
      </x:top>
      <x:bottom style="thin">
        <x:color rgb="B8C7D9"/>
      </x:bottom>
    </x:border>
    <x:border>
      <x:right style="thin">
        <x:color rgb="B8C7D9"/>
      </x:right>
      <x:top style="thin">
        <x:color rgb="B8C7D9"/>
      </x:top>
      <x:bottom style="thin">
        <x:color rgb="B8C7D9"/>
      </x:bottom>
    </x:border>
    <x:border>
      <x:left style="thin">
        <x:color rgb="D1D5DB"/>
      </x:left>
      <x:top style="thin">
        <x:color rgb="D1D5DB"/>
      </x:top>
    </x:border>
    <x:border>
      <x:right style="thin">
        <x:color rgb="D1D5DB"/>
      </x:right>
      <x:top style="thin">
        <x:color rgb="D1D5DB"/>
      </x:top>
    </x:border>
    <x:border>
      <x:left style="thin">
        <x:color rgb="D1D5DB"/>
      </x:left>
    </x:border>
    <x:border>
      <x:right style="thin">
        <x:color rgb="D1D5DB"/>
      </x:right>
    </x:border>
    <x:border>
      <x:left style="thin">
        <x:color rgb="D1D5DB"/>
      </x:left>
      <x:bottom style="thin">
        <x:color rgb="D1D5DB"/>
      </x:bottom>
    </x:border>
    <x:border>
      <x:right style="thin">
        <x:color rgb="D1D5DB"/>
      </x:right>
      <x:bottom style="thin">
        <x:color rgb="D1D5DB"/>
      </x:bottom>
    </x:border>
    <x:border>
      <x:left style="thin">
        <x:color rgb="D1D5DB"/>
      </x:left>
      <x:top style="thin">
        <x:color rgb="D1D5DB"/>
      </x:top>
    </x:border>
    <x:border>
      <x:right style="thin">
        <x:color rgb="D1D5DB"/>
      </x:right>
      <x:top style="thin">
        <x:color rgb="D1D5DB"/>
      </x:top>
    </x:border>
    <x:border>
      <x:left style="thin">
        <x:color rgb="D1D5DB"/>
      </x:left>
    </x:border>
    <x:border>
      <x:right style="thin">
        <x:color rgb="D1D5DB"/>
      </x:right>
    </x:border>
    <x:border>
      <x:left style="thin">
        <x:color rgb="D1D5DB"/>
      </x:left>
      <x:bottom style="thin">
        <x:color rgb="D1D5DB"/>
      </x:bottom>
    </x:border>
    <x:border>
      <x:right style="thin">
        <x:color rgb="D1D5DB"/>
      </x:right>
      <x:bottom style="thin">
        <x:color rgb="D1D5DB"/>
      </x:bottom>
    </x:border>
    <x:border>
      <x:left style="thin">
        <x:color rgb="FED7AA"/>
      </x:left>
      <x:right style="thin">
        <x:color rgb="FED7AA"/>
      </x:right>
      <x:top style="thin">
        <x:color rgb="FED7AA"/>
      </x:top>
      <x:bottom style="thin">
        <x:color rgb="FED7AA"/>
      </x:bottom>
    </x:border>
    <x:border>
      <x:left style="thin">
        <x:color rgb="FED7AA"/>
      </x:left>
      <x:right style="thin">
        <x:color rgb="FED7AA"/>
      </x:right>
      <x:top style="thin">
        <x:color rgb="FED7AA"/>
      </x:top>
      <x:bottom style="thin">
        <x:color rgb="FED7AA"/>
      </x:bottom>
    </x:border>
    <x:border>
      <x:left style="thin">
        <x:color rgb="9CA3AF"/>
      </x:left>
      <x:top style="thin">
        <x:color rgb="9CA3AF"/>
      </x:top>
      <x:bottom style="thin">
        <x:color rgb="9CA3AF"/>
      </x:bottom>
    </x:border>
    <x:border>
      <x:top style="thin">
        <x:color rgb="9CA3AF"/>
      </x:top>
      <x:bottom style="thin">
        <x:color rgb="9CA3AF"/>
      </x:bottom>
    </x:border>
    <x:border>
      <x:right style="thin">
        <x:color rgb="9CA3AF"/>
      </x:right>
      <x:top style="thin">
        <x:color rgb="9CA3AF"/>
      </x:top>
      <x:bottom style="thin">
        <x:color rgb="9CA3AF"/>
      </x:bottom>
    </x:border>
    <x:border>
      <x:left style="thin">
        <x:color rgb="9CA3AF"/>
      </x:left>
      <x:top style="thin">
        <x:color rgb="9CA3AF"/>
      </x:top>
      <x:bottom style="thin">
        <x:color rgb="9CA3AF"/>
      </x:bottom>
    </x:border>
    <x:border>
      <x:top style="thin">
        <x:color rgb="9CA3AF"/>
      </x:top>
      <x:bottom style="thin">
        <x:color rgb="9CA3AF"/>
      </x:bottom>
    </x:border>
    <x:border>
      <x:right style="thin">
        <x:color rgb="9CA3AF"/>
      </x:right>
      <x:top style="thin">
        <x:color rgb="9CA3AF"/>
      </x:top>
      <x:bottom style="thin">
        <x:color rgb="9CA3AF"/>
      </x:bottom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  <x:border>
      <x:left style="thin">
        <x:color rgb="D1D5DB"/>
      </x:left>
      <x:right style="thin">
        <x:color rgb="E5E7EB"/>
      </x:right>
      <x:top style="thin">
        <x:color rgb="D1D5D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D1D5DB"/>
      </x:top>
      <x:bottom style="thin">
        <x:color rgb="E5E7EB"/>
      </x:bottom>
    </x:border>
    <x:border>
      <x:left style="thin">
        <x:color rgb="E5E7EB"/>
      </x:left>
      <x:right style="thin">
        <x:color rgb="D1D5DB"/>
      </x:right>
      <x:top style="thin">
        <x:color rgb="D1D5DB"/>
      </x:top>
      <x:bottom style="thin">
        <x:color rgb="E5E7EB"/>
      </x:bottom>
    </x:border>
    <x:border>
      <x:left style="thin">
        <x:color rgb="D1D5D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D1D5DB"/>
      </x:right>
      <x:top style="thin">
        <x:color rgb="E5E7EB"/>
      </x:top>
      <x:bottom style="thin">
        <x:color rgb="E5E7EB"/>
      </x:bottom>
    </x:border>
    <x:border>
      <x:left style="thin">
        <x:color rgb="D1D5DB"/>
      </x:left>
      <x:right style="thin">
        <x:color rgb="E5E7EB"/>
      </x:right>
      <x:top style="thin">
        <x:color rgb="E5E7EB"/>
      </x:top>
      <x:bottom style="thin">
        <x:color rgb="D1D5D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D1D5DB"/>
      </x:bottom>
    </x:border>
    <x:border>
      <x:left style="thin">
        <x:color rgb="E5E7EB"/>
      </x:left>
      <x:right style="thin">
        <x:color rgb="D1D5DB"/>
      </x:right>
      <x:top style="thin">
        <x:color rgb="E5E7EB"/>
      </x:top>
      <x:bottom style="thin">
        <x:color rgb="D1D5DB"/>
      </x:bottom>
    </x:border>
    <x:border>
      <x:left style="thin">
        <x:color rgb="D1D5DB"/>
      </x:left>
      <x:right style="thin">
        <x:color rgb="E5E7EB"/>
      </x:right>
      <x:top style="thin">
        <x:color rgb="D1D5D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D1D5DB"/>
      </x:top>
      <x:bottom style="thin">
        <x:color rgb="E5E7EB"/>
      </x:bottom>
    </x:border>
    <x:border>
      <x:left style="thin">
        <x:color rgb="E5E7EB"/>
      </x:left>
      <x:right style="thin">
        <x:color rgb="D1D5DB"/>
      </x:right>
      <x:top style="thin">
        <x:color rgb="D1D5DB"/>
      </x:top>
      <x:bottom style="thin">
        <x:color rgb="E5E7EB"/>
      </x:bottom>
    </x:border>
    <x:border>
      <x:left style="thin">
        <x:color rgb="D1D5D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D1D5DB"/>
      </x:right>
      <x:top style="thin">
        <x:color rgb="E5E7EB"/>
      </x:top>
      <x:bottom style="thin">
        <x:color rgb="E5E7EB"/>
      </x:bottom>
    </x:border>
    <x:border>
      <x:left style="thin">
        <x:color rgb="D1D5DB"/>
      </x:left>
      <x:right style="thin">
        <x:color rgb="E5E7EB"/>
      </x:right>
      <x:top style="thin">
        <x:color rgb="E5E7EB"/>
      </x:top>
      <x:bottom style="thin">
        <x:color rgb="D1D5D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D1D5DB"/>
      </x:bottom>
    </x:border>
    <x:border>
      <x:left style="thin">
        <x:color rgb="E5E7EB"/>
      </x:left>
      <x:right style="thin">
        <x:color rgb="D1D5DB"/>
      </x:right>
      <x:top style="thin">
        <x:color rgb="E5E7EB"/>
      </x:top>
      <x:bottom style="thin">
        <x:color rgb="D1D5DB"/>
      </x:bottom>
    </x:border>
    <x:border>
      <x:left style="thin">
        <x:color rgb="D1D5DB"/>
      </x:left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D1D5DB"/>
      </x:left>
      <x:right style="thin">
        <x:color rgb="D1D5DB"/>
      </x:right>
      <x:top style="thin">
        <x:color rgb="D1D5DB"/>
      </x:top>
      <x:bottom style="thin">
        <x:color rgb="D1D5DB"/>
      </x:bottom>
    </x:border>
  </x:borders>
  <x:cellStyleXfs count="1">
    <x:xf numFmtId="0" fontId="0" fillId="0" borderId="0"/>
  </x:cellStyleXfs>
  <x:cellXfs count="2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200" fontId="2" fillId="3" borderId="13" xfId="0" applyNumberFormat="1" applyFont="1" applyFill="1" applyBorder="1"/>
    <x:xf numFmtId="0" fontId="0" fillId="3" borderId="1" xfId="0" applyNumberFormat="1" applyFont="1" applyFill="1" applyBorder="1"/>
    <x:xf numFmtId="20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2" fillId="3" borderId="1" xfId="0" applyNumberFormat="1" applyFont="1" applyFill="1" applyBorder="1"/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16" xfId="0" applyNumberFormat="1" applyFont="1" applyFill="1" applyBorder="1"/>
    <x:xf numFmtId="0" fontId="2" fillId="3" borderId="17" xfId="0" applyNumberFormat="1" applyFont="1" applyFill="1" applyBorder="1"/>
    <x:xf numFmtId="0" fontId="2" fillId="3" borderId="18" xfId="0" applyNumberFormat="1" applyFont="1" applyFill="1" applyBorder="1"/>
    <x:xf numFmtId="200" fontId="2" fillId="3" borderId="19" xfId="0" applyNumberFormat="1" applyFont="1" applyFill="1" applyBorder="1"/>
    <x:xf numFmtId="0" fontId="3" fillId="3" borderId="8" xfId="0" applyNumberFormat="1" applyFont="1" applyFill="1" applyBorder="1"/>
    <x:xf numFmtId="0" fontId="3" fillId="3" borderId="10" xfId="0" applyNumberFormat="1" applyFont="1" applyFill="1" applyBorder="1"/>
    <x:xf numFmtId="0" fontId="3" fillId="3" borderId="12" xfId="0" applyNumberFormat="1" applyFont="1" applyFill="1" applyBorder="1"/>
    <x:xf numFmtId="0" fontId="3" fillId="3" borderId="14" xfId="0" applyNumberFormat="1" applyFont="1" applyFill="1" applyBorder="1"/>
    <x:xf numFmtId="0" fontId="3" fillId="3" borderId="16" xfId="0" applyNumberFormat="1" applyFont="1" applyFill="1" applyBorder="1"/>
    <x:xf numFmtId="0" fontId="3" fillId="3" borderId="18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0" xfId="0" applyNumberFormat="1" applyFont="1" applyFill="1" applyBorder="1"/>
    <x:xf numFmtId="0" fontId="4" fillId="4" borderId="20" xfId="0" applyNumberFormat="1" applyFont="1" applyFill="1" applyBorder="1" applyAlignment="1">
      <x:alignment wrapText="1"/>
    </x:xf>
    <x:xf numFmtId="0" fontId="4" fillId="4" borderId="2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21" xfId="0" applyNumberFormat="1" applyFont="1" applyFill="1" applyBorder="1"/>
    <x:xf numFmtId="0" fontId="4" fillId="4" borderId="21" xfId="0" applyNumberFormat="1" applyFont="1" applyFill="1" applyBorder="1" applyAlignment="1">
      <x:alignment wrapText="1"/>
    </x:xf>
    <x:xf numFmtId="0" fontId="4" fillId="4" borderId="2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2" xfId="0" applyNumberFormat="1" applyFont="1" applyFill="1" applyBorder="1"/>
    <x:xf numFmtId="0" fontId="5" fillId="5" borderId="23" xfId="0" applyNumberFormat="1" applyFont="1" applyFill="1" applyBorder="1"/>
    <x:xf numFmtId="0" fontId="5" fillId="5" borderId="24" xfId="0" applyNumberFormat="1" applyFont="1" applyFill="1" applyBorder="1"/>
    <x:xf numFmtId="0" fontId="5" fillId="5" borderId="22" xfId="0" applyNumberFormat="1" applyFont="1" applyFill="1" applyBorder="1" applyAlignment="1">
      <x:alignment wrapText="1"/>
    </x:xf>
    <x:xf numFmtId="0" fontId="5" fillId="5" borderId="23" xfId="0" applyNumberFormat="1" applyFont="1" applyFill="1" applyBorder="1" applyAlignment="1">
      <x:alignment wrapText="1"/>
    </x:xf>
    <x:xf numFmtId="0" fontId="5" fillId="5" borderId="24" xfId="0" applyNumberFormat="1" applyFont="1" applyFill="1" applyBorder="1" applyAlignment="1">
      <x:alignment wrapText="1"/>
    </x:xf>
    <x:xf numFmtId="0" fontId="5" fillId="5" borderId="22" xfId="0" applyNumberFormat="1" applyFont="1" applyFill="1" applyBorder="1" applyAlignment="1">
      <x:alignment horizontal="center" wrapText="1"/>
    </x:xf>
    <x:xf numFmtId="0" fontId="5" fillId="5" borderId="23" xfId="0" applyNumberFormat="1" applyFont="1" applyFill="1" applyBorder="1" applyAlignment="1">
      <x:alignment horizontal="center" wrapText="1"/>
    </x:xf>
    <x:xf numFmtId="0" fontId="5" fillId="5" borderId="24" xfId="0" applyNumberFormat="1" applyFont="1" applyFill="1" applyBorder="1" applyAlignment="1">
      <x:alignment horizontal="center" wrapText="1"/>
    </x:xf>
    <x:xf numFmtId="0" fontId="5" fillId="5" borderId="22" xfId="0" applyNumberFormat="1" applyFont="1" applyFill="1" applyBorder="1" applyAlignment="1">
      <x:alignment horizontal="center" vertical="center" wrapText="1"/>
    </x:xf>
    <x:xf numFmtId="0" fontId="5" fillId="5" borderId="23" xfId="0" applyNumberFormat="1" applyFont="1" applyFill="1" applyBorder="1" applyAlignment="1">
      <x:alignment horizontal="center" vertical="center" wrapText="1"/>
    </x:xf>
    <x:xf numFmtId="0" fontId="5" fillId="5" borderId="24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25" xfId="0" applyNumberFormat="1" applyFont="1" applyFill="1" applyBorder="1"/>
    <x:xf numFmtId="0" fontId="5" fillId="5" borderId="26" xfId="0" applyNumberFormat="1" applyFont="1" applyFill="1" applyBorder="1"/>
    <x:xf numFmtId="0" fontId="5" fillId="5" borderId="27" xfId="0" applyNumberFormat="1" applyFont="1" applyFill="1" applyBorder="1"/>
    <x:xf numFmtId="0" fontId="5" fillId="5" borderId="25" xfId="0" applyNumberFormat="1" applyFont="1" applyFill="1" applyBorder="1" applyAlignment="1">
      <x:alignment wrapText="1"/>
    </x:xf>
    <x:xf numFmtId="0" fontId="5" fillId="5" borderId="26" xfId="0" applyNumberFormat="1" applyFont="1" applyFill="1" applyBorder="1" applyAlignment="1">
      <x:alignment wrapText="1"/>
    </x:xf>
    <x:xf numFmtId="0" fontId="5" fillId="5" borderId="27" xfId="0" applyNumberFormat="1" applyFont="1" applyFill="1" applyBorder="1" applyAlignment="1">
      <x:alignment wrapText="1"/>
    </x:xf>
    <x:xf numFmtId="0" fontId="5" fillId="5" borderId="25" xfId="0" applyNumberFormat="1" applyFont="1" applyFill="1" applyBorder="1" applyAlignment="1">
      <x:alignment horizontal="center" wrapText="1"/>
    </x:xf>
    <x:xf numFmtId="0" fontId="5" fillId="5" borderId="26" xfId="0" applyNumberFormat="1" applyFont="1" applyFill="1" applyBorder="1" applyAlignment="1">
      <x:alignment horizontal="center" wrapText="1"/>
    </x:xf>
    <x:xf numFmtId="0" fontId="5" fillId="5" borderId="27" xfId="0" applyNumberFormat="1" applyFont="1" applyFill="1" applyBorder="1" applyAlignment="1">
      <x:alignment horizontal="center" wrapText="1"/>
    </x:xf>
    <x:xf numFmtId="0" fontId="5" fillId="5" borderId="25" xfId="0" applyNumberFormat="1" applyFont="1" applyFill="1" applyBorder="1" applyAlignment="1">
      <x:alignment horizontal="center" vertical="center" wrapText="1"/>
    </x:xf>
    <x:xf numFmtId="0" fontId="5" fillId="5" borderId="26" xfId="0" applyNumberFormat="1" applyFont="1" applyFill="1" applyBorder="1" applyAlignment="1">
      <x:alignment horizontal="center" vertical="center" wrapText="1"/>
    </x:xf>
    <x:xf numFmtId="0" fontId="5" fillId="5" borderId="27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28" xfId="0" applyNumberFormat="1" applyFont="1" applyFill="1" applyBorder="1"/>
    <x:xf numFmtId="0" fontId="6" fillId="0" borderId="29" xfId="0" applyNumberFormat="1" applyFont="1" applyFill="1" applyBorder="1"/>
    <x:xf numFmtId="0" fontId="6" fillId="0" borderId="30" xfId="0" applyNumberFormat="1" applyFont="1" applyFill="1" applyBorder="1"/>
    <x:xf numFmtId="0" fontId="6" fillId="0" borderId="31" xfId="0" applyNumberFormat="1" applyFont="1" applyFill="1" applyBorder="1"/>
    <x:xf numFmtId="0" fontId="6" fillId="0" borderId="32" xfId="0" applyNumberFormat="1" applyFont="1" applyFill="1" applyBorder="1"/>
    <x:xf numFmtId="0" fontId="6" fillId="0" borderId="33" xfId="0" applyNumberFormat="1" applyFont="1" applyFill="1" applyBorder="1"/>
    <x:xf numFmtId="0" fontId="6" fillId="0" borderId="34" xfId="0" applyNumberFormat="1" applyFont="1" applyFill="1" applyBorder="1"/>
    <x:xf numFmtId="0" fontId="6" fillId="0" borderId="35" xfId="0" applyNumberFormat="1" applyFont="1" applyFill="1" applyBorder="1"/>
    <x:xf numFmtId="0" fontId="6" fillId="0" borderId="36" xfId="0" applyNumberFormat="1" applyFont="1" applyFill="1" applyBorder="1"/>
    <x:xf numFmtId="0" fontId="6" fillId="0" borderId="28" xfId="0" applyNumberFormat="1" applyFont="1" applyFill="1" applyBorder="1" applyAlignment="1">
      <x:alignment wrapText="1"/>
    </x:xf>
    <x:xf numFmtId="0" fontId="6" fillId="0" borderId="29" xfId="0" applyNumberFormat="1" applyFont="1" applyFill="1" applyBorder="1" applyAlignment="1">
      <x:alignment wrapText="1"/>
    </x:xf>
    <x:xf numFmtId="0" fontId="6" fillId="0" borderId="30" xfId="0" applyNumberFormat="1" applyFont="1" applyFill="1" applyBorder="1" applyAlignment="1">
      <x:alignment wrapText="1"/>
    </x:xf>
    <x:xf numFmtId="0" fontId="6" fillId="0" borderId="31" xfId="0" applyNumberFormat="1" applyFont="1" applyFill="1" applyBorder="1" applyAlignment="1">
      <x:alignment wrapText="1"/>
    </x:xf>
    <x:xf numFmtId="0" fontId="6" fillId="0" borderId="32" xfId="0" applyNumberFormat="1" applyFont="1" applyFill="1" applyBorder="1" applyAlignment="1">
      <x:alignment wrapText="1"/>
    </x:xf>
    <x:xf numFmtId="0" fontId="6" fillId="0" borderId="33" xfId="0" applyNumberFormat="1" applyFont="1" applyFill="1" applyBorder="1" applyAlignment="1">
      <x:alignment wrapText="1"/>
    </x:xf>
    <x:xf numFmtId="0" fontId="6" fillId="0" borderId="34" xfId="0" applyNumberFormat="1" applyFont="1" applyFill="1" applyBorder="1" applyAlignment="1">
      <x:alignment wrapText="1"/>
    </x:xf>
    <x:xf numFmtId="0" fontId="6" fillId="0" borderId="35" xfId="0" applyNumberFormat="1" applyFont="1" applyFill="1" applyBorder="1" applyAlignment="1">
      <x:alignment wrapText="1"/>
    </x:xf>
    <x:xf numFmtId="0" fontId="6" fillId="0" borderId="36" xfId="0" applyNumberFormat="1" applyFont="1" applyFill="1" applyBorder="1" applyAlignment="1">
      <x:alignment wrapText="1"/>
    </x:xf>
    <x:xf numFmtId="0" fontId="6" fillId="0" borderId="28" xfId="0" applyNumberFormat="1" applyFont="1" applyFill="1" applyBorder="1" applyAlignment="1">
      <x:alignment vertical="top" wrapText="1"/>
    </x:xf>
    <x:xf numFmtId="0" fontId="6" fillId="0" borderId="29" xfId="0" applyNumberFormat="1" applyFont="1" applyFill="1" applyBorder="1" applyAlignment="1">
      <x:alignment vertical="top" wrapText="1"/>
    </x:xf>
    <x:xf numFmtId="0" fontId="6" fillId="0" borderId="30" xfId="0" applyNumberFormat="1" applyFont="1" applyFill="1" applyBorder="1" applyAlignment="1">
      <x:alignment vertical="top" wrapText="1"/>
    </x:xf>
    <x:xf numFmtId="0" fontId="6" fillId="0" borderId="31" xfId="0" applyNumberFormat="1" applyFont="1" applyFill="1" applyBorder="1" applyAlignment="1">
      <x:alignment vertical="top" wrapText="1"/>
    </x:xf>
    <x:xf numFmtId="0" fontId="6" fillId="0" borderId="32" xfId="0" applyNumberFormat="1" applyFont="1" applyFill="1" applyBorder="1" applyAlignment="1">
      <x:alignment vertical="top" wrapText="1"/>
    </x:xf>
    <x:xf numFmtId="0" fontId="6" fillId="0" borderId="33" xfId="0" applyNumberFormat="1" applyFont="1" applyFill="1" applyBorder="1" applyAlignment="1">
      <x:alignment vertical="top" wrapText="1"/>
    </x:xf>
    <x:xf numFmtId="0" fontId="6" fillId="0" borderId="34" xfId="0" applyNumberFormat="1" applyFont="1" applyFill="1" applyBorder="1" applyAlignment="1">
      <x:alignment vertical="top" wrapText="1"/>
    </x:xf>
    <x:xf numFmtId="0" fontId="6" fillId="0" borderId="35" xfId="0" applyNumberFormat="1" applyFont="1" applyFill="1" applyBorder="1" applyAlignment="1">
      <x:alignment vertical="top" wrapText="1"/>
    </x:xf>
    <x:xf numFmtId="0" fontId="6" fillId="0" borderId="36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/>
    <x:xf numFmtId="0" fontId="6" fillId="0" borderId="37" xfId="0" applyNumberFormat="1" applyFont="1" applyFill="1" applyBorder="1"/>
    <x:xf numFmtId="0" fontId="6" fillId="0" borderId="38" xfId="0" applyNumberFormat="1" applyFont="1" applyFill="1" applyBorder="1"/>
    <x:xf numFmtId="0" fontId="6" fillId="0" borderId="39" xfId="0" applyNumberFormat="1" applyFont="1" applyFill="1" applyBorder="1"/>
    <x:xf numFmtId="0" fontId="6" fillId="0" borderId="40" xfId="0" applyNumberFormat="1" applyFont="1" applyFill="1" applyBorder="1"/>
    <x:xf numFmtId="0" fontId="6" fillId="0" borderId="41" xfId="0" applyNumberFormat="1" applyFont="1" applyFill="1" applyBorder="1"/>
    <x:xf numFmtId="0" fontId="6" fillId="0" borderId="42" xfId="0" applyNumberFormat="1" applyFont="1" applyFill="1" applyBorder="1"/>
    <x:xf numFmtId="0" fontId="6" fillId="0" borderId="43" xfId="0" applyNumberFormat="1" applyFont="1" applyFill="1" applyBorder="1"/>
    <x:xf numFmtId="0" fontId="6" fillId="0" borderId="44" xfId="0" applyNumberFormat="1" applyFont="1" applyFill="1" applyBorder="1"/>
    <x:xf numFmtId="0" fontId="6" fillId="0" borderId="45" xfId="0" applyNumberFormat="1" applyFont="1" applyFill="1" applyBorder="1"/>
    <x:xf numFmtId="0" fontId="6" fillId="0" borderId="37" xfId="0" applyNumberFormat="1" applyFont="1" applyFill="1" applyBorder="1" applyAlignment="1">
      <x:alignment wrapText="1"/>
    </x:xf>
    <x:xf numFmtId="0" fontId="6" fillId="0" borderId="38" xfId="0" applyNumberFormat="1" applyFont="1" applyFill="1" applyBorder="1" applyAlignment="1">
      <x:alignment wrapText="1"/>
    </x:xf>
    <x:xf numFmtId="0" fontId="6" fillId="0" borderId="39" xfId="0" applyNumberFormat="1" applyFont="1" applyFill="1" applyBorder="1" applyAlignment="1">
      <x:alignment wrapText="1"/>
    </x:xf>
    <x:xf numFmtId="0" fontId="6" fillId="0" borderId="40" xfId="0" applyNumberFormat="1" applyFont="1" applyFill="1" applyBorder="1" applyAlignment="1">
      <x:alignment wrapText="1"/>
    </x:xf>
    <x:xf numFmtId="0" fontId="6" fillId="0" borderId="41" xfId="0" applyNumberFormat="1" applyFont="1" applyFill="1" applyBorder="1" applyAlignment="1">
      <x:alignment wrapText="1"/>
    </x:xf>
    <x:xf numFmtId="0" fontId="6" fillId="0" borderId="42" xfId="0" applyNumberFormat="1" applyFont="1" applyFill="1" applyBorder="1" applyAlignment="1">
      <x:alignment wrapText="1"/>
    </x:xf>
    <x:xf numFmtId="0" fontId="6" fillId="0" borderId="43" xfId="0" applyNumberFormat="1" applyFont="1" applyFill="1" applyBorder="1" applyAlignment="1">
      <x:alignment wrapText="1"/>
    </x:xf>
    <x:xf numFmtId="0" fontId="6" fillId="0" borderId="44" xfId="0" applyNumberFormat="1" applyFont="1" applyFill="1" applyBorder="1" applyAlignment="1">
      <x:alignment wrapText="1"/>
    </x:xf>
    <x:xf numFmtId="0" fontId="6" fillId="0" borderId="45" xfId="0" applyNumberFormat="1" applyFont="1" applyFill="1" applyBorder="1" applyAlignment="1">
      <x:alignment wrapText="1"/>
    </x:xf>
    <x:xf numFmtId="0" fontId="6" fillId="0" borderId="37" xfId="0" applyNumberFormat="1" applyFont="1" applyFill="1" applyBorder="1" applyAlignment="1">
      <x:alignment vertical="top" wrapText="1"/>
    </x:xf>
    <x:xf numFmtId="0" fontId="6" fillId="0" borderId="38" xfId="0" applyNumberFormat="1" applyFont="1" applyFill="1" applyBorder="1" applyAlignment="1">
      <x:alignment vertical="top" wrapText="1"/>
    </x:xf>
    <x:xf numFmtId="0" fontId="6" fillId="0" borderId="39" xfId="0" applyNumberFormat="1" applyFont="1" applyFill="1" applyBorder="1" applyAlignment="1">
      <x:alignment vertical="top" wrapText="1"/>
    </x:xf>
    <x:xf numFmtId="0" fontId="6" fillId="0" borderId="40" xfId="0" applyNumberFormat="1" applyFont="1" applyFill="1" applyBorder="1" applyAlignment="1">
      <x:alignment vertical="top" wrapText="1"/>
    </x:xf>
    <x:xf numFmtId="0" fontId="6" fillId="0" borderId="41" xfId="0" applyNumberFormat="1" applyFont="1" applyFill="1" applyBorder="1" applyAlignment="1">
      <x:alignment vertical="top" wrapText="1"/>
    </x:xf>
    <x:xf numFmtId="0" fontId="6" fillId="0" borderId="42" xfId="0" applyNumberFormat="1" applyFont="1" applyFill="1" applyBorder="1" applyAlignment="1">
      <x:alignment vertical="top" wrapText="1"/>
    </x:xf>
    <x:xf numFmtId="0" fontId="6" fillId="0" borderId="43" xfId="0" applyNumberFormat="1" applyFont="1" applyFill="1" applyBorder="1" applyAlignment="1">
      <x:alignment vertical="top" wrapText="1"/>
    </x:xf>
    <x:xf numFmtId="0" fontId="6" fillId="0" borderId="44" xfId="0" applyNumberFormat="1" applyFont="1" applyFill="1" applyBorder="1" applyAlignment="1">
      <x:alignment vertical="top" wrapText="1"/>
    </x:xf>
    <x:xf numFmtId="0" fontId="6" fillId="0" borderId="45" xfId="0" applyNumberFormat="1" applyFont="1" applyFill="1" applyBorder="1" applyAlignment="1">
      <x:alignment vertical="top" wrapText="1"/>
    </x:xf>
    <x:xf numFmtId="0" fontId="6" fillId="0" borderId="46" xfId="0" applyNumberFormat="1" applyFont="1" applyFill="1" applyBorder="1" applyAlignment="1">
      <x:alignment vertical="top" wrapText="1"/>
    </x:xf>
    <x:xf numFmtId="0" fontId="6" fillId="0" borderId="47" xfId="0" applyNumberFormat="1" applyFont="1" applyFill="1" applyBorder="1" applyAlignment="1">
      <x:alignment vertical="top" wrapText="1"/>
    </x:xf>
    <x:xf numFmtId="0" fontId="6" fillId="0" borderId="48" xfId="0" applyNumberFormat="1" applyFont="1" applyFill="1" applyBorder="1" applyAlignment="1">
      <x:alignment vertical="top" wrapText="1"/>
    </x:xf>
    <x:xf numFmtId="0" fontId="6" fillId="0" borderId="49" xfId="0" applyNumberFormat="1" applyFont="1" applyFill="1" applyBorder="1" applyAlignment="1">
      <x:alignment vertical="top" wrapText="1"/>
    </x:xf>
    <x:xf numFmtId="0" fontId="6" fillId="0" borderId="50" xfId="0" applyNumberFormat="1" applyFont="1" applyFill="1" applyBorder="1" applyAlignment="1">
      <x:alignment vertical="top" wrapText="1"/>
    </x:xf>
    <x:xf numFmtId="0" fontId="6" fillId="0" borderId="51" xfId="0" applyNumberFormat="1" applyFont="1" applyFill="1" applyBorder="1" applyAlignment="1">
      <x:alignment vertical="top" wrapText="1"/>
    </x:xf>
    <x:xf numFmtId="0" fontId="6" fillId="0" borderId="52" xfId="0" applyNumberFormat="1" applyFont="1" applyFill="1" applyBorder="1" applyAlignment="1">
      <x:alignment vertical="top" wrapText="1"/>
    </x:xf>
    <x:xf numFmtId="0" fontId="6" fillId="0" borderId="53" xfId="0" applyNumberFormat="1" applyFont="1" applyFill="1" applyBorder="1" applyAlignment="1">
      <x:alignment vertical="top" wrapText="1"/>
    </x:xf>
    <x:xf numFmtId="0" fontId="6" fillId="0" borderId="54" xfId="0" applyNumberFormat="1" applyFont="1" applyFill="1" applyBorder="1" applyAlignment="1">
      <x:alignment vertical="top" wrapText="1"/>
    </x:xf>
    <x:xf numFmtId="0" fontId="6" fillId="0" borderId="55" xfId="0" applyNumberFormat="1" applyFont="1" applyFill="1" applyBorder="1" applyAlignment="1">
      <x:alignment vertical="top" wrapText="1"/>
    </x:xf>
    <x:xf numFmtId="0" fontId="6" fillId="0" borderId="56" xfId="0" applyNumberFormat="1" applyFont="1" applyFill="1" applyBorder="1" applyAlignment="1">
      <x:alignment vertical="top" wrapText="1"/>
    </x:xf>
    <x:xf numFmtId="0" fontId="6" fillId="0" borderId="57" xfId="0" applyNumberFormat="1" applyFont="1" applyFill="1" applyBorder="1" applyAlignment="1">
      <x:alignment vertical="top" wrapText="1"/>
    </x:xf>
    <x:xf numFmtId="0" fontId="6" fillId="0" borderId="58" xfId="0" applyNumberFormat="1" applyFont="1" applyFill="1" applyBorder="1" applyAlignment="1">
      <x:alignment vertical="top" wrapText="1"/>
    </x:xf>
    <x:xf numFmtId="0" fontId="6" fillId="0" borderId="59" xfId="0" applyNumberFormat="1" applyFont="1" applyFill="1" applyBorder="1" applyAlignment="1">
      <x:alignment vertical="top" wrapText="1"/>
    </x:xf>
    <x:xf numFmtId="0" fontId="6" fillId="0" borderId="60" xfId="0" applyNumberFormat="1" applyFont="1" applyFill="1" applyBorder="1" applyAlignment="1">
      <x:alignment vertical="top" wrapText="1"/>
    </x:xf>
    <x:xf numFmtId="0" fontId="6" fillId="0" borderId="61" xfId="0" applyNumberFormat="1" applyFont="1" applyFill="1" applyBorder="1" applyAlignment="1">
      <x:alignment vertical="top" wrapText="1"/>
    </x:xf>
    <x:xf numFmtId="0" fontId="6" fillId="6" borderId="47" xfId="0" applyNumberFormat="1" applyFont="1" applyFill="1" applyBorder="1" applyAlignment="1">
      <x:alignment vertical="top" wrapText="1"/>
    </x:xf>
    <x:xf numFmtId="0" fontId="7" fillId="6" borderId="47" xfId="0" applyNumberFormat="1" applyFont="1" applyFill="1" applyBorder="1" applyAlignment="1">
      <x:alignment vertical="top" wrapText="1"/>
    </x:xf>
    <x:xf numFmtId="0" fontId="7" fillId="6" borderId="62" xfId="0" applyNumberFormat="1" applyFont="1" applyFill="1" applyBorder="1" applyAlignment="1">
      <x:alignment vertical="top" wrapText="1"/>
    </x:xf>
    <x:xf numFmtId="0" fontId="7" fillId="6" borderId="62" xfId="0" applyNumberFormat="1" applyFont="1" applyFill="1" applyBorder="1" applyAlignment="1">
      <x:alignment horizontal="center" vertical="top" wrapText="1"/>
    </x:xf>
    <x:xf numFmtId="0" fontId="7" fillId="6" borderId="62" xfId="0" applyNumberFormat="1" applyFont="1" applyFill="1" applyBorder="1" applyAlignment="1">
      <x:alignment horizontal="center" vertical="center" wrapText="1"/>
    </x:xf>
    <x:xf numFmtId="0" fontId="6" fillId="6" borderId="55" xfId="0" applyNumberFormat="1" applyFont="1" applyFill="1" applyBorder="1" applyAlignment="1">
      <x:alignment vertical="top" wrapText="1"/>
    </x:xf>
    <x:xf numFmtId="0" fontId="7" fillId="6" borderId="55" xfId="0" applyNumberFormat="1" applyFont="1" applyFill="1" applyBorder="1" applyAlignment="1">
      <x:alignment vertical="top" wrapText="1"/>
    </x:xf>
    <x:xf numFmtId="0" fontId="7" fillId="6" borderId="63" xfId="0" applyNumberFormat="1" applyFont="1" applyFill="1" applyBorder="1" applyAlignment="1">
      <x:alignment vertical="top" wrapText="1"/>
    </x:xf>
    <x:xf numFmtId="0" fontId="7" fillId="6" borderId="63" xfId="0" applyNumberFormat="1" applyFont="1" applyFill="1" applyBorder="1" applyAlignment="1">
      <x:alignment horizontal="center" vertical="top" wrapText="1"/>
    </x:xf>
    <x:xf numFmtId="0" fontId="7" fillId="6" borderId="63" xfId="0" applyNumberFormat="1" applyFont="1" applyFill="1" applyBorder="1" applyAlignment="1">
      <x:alignment horizontal="center" vertical="center" wrapText="1"/>
    </x:xf>
    <x:xf numFmtId="0" fontId="6" fillId="6" borderId="32" xfId="0" applyNumberFormat="1" applyFont="1" applyFill="1" applyBorder="1" applyAlignment="1">
      <x:alignment vertical="top" wrapText="1"/>
    </x:xf>
    <x:xf numFmtId="0" fontId="7" fillId="6" borderId="32" xfId="0" applyNumberFormat="1" applyFont="1" applyFill="1" applyBorder="1" applyAlignment="1">
      <x:alignment vertical="top" wrapText="1"/>
    </x:xf>
    <x:xf numFmtId="0" fontId="6" fillId="6" borderId="41" xfId="0" applyNumberFormat="1" applyFont="1" applyFill="1" applyBorder="1" applyAlignment="1">
      <x:alignment vertical="top" wrapText="1"/>
    </x:xf>
    <x:xf numFmtId="0" fontId="7" fillId="6" borderId="41" xfId="0" applyNumberFormat="1" applyFont="1" applyFill="1" applyBorder="1" applyAlignment="1">
      <x:alignment vertical="top" wrapText="1"/>
    </x:xf>
    <x:xf numFmtId="0" fontId="6" fillId="7" borderId="32" xfId="0" applyNumberFormat="1" applyFont="1" applyFill="1" applyBorder="1" applyAlignment="1">
      <x:alignment vertical="top" wrapText="1"/>
    </x:xf>
    <x:xf numFmtId="0" fontId="7" fillId="7" borderId="32" xfId="0" applyNumberFormat="1" applyFont="1" applyFill="1" applyBorder="1" applyAlignment="1">
      <x:alignment vertical="top" wrapText="1"/>
    </x:xf>
    <x:xf numFmtId="0" fontId="7" fillId="7" borderId="62" xfId="0" applyNumberFormat="1" applyFont="1" applyFill="1" applyBorder="1" applyAlignment="1">
      <x:alignment vertical="top" wrapText="1"/>
    </x:xf>
    <x:xf numFmtId="0" fontId="7" fillId="7" borderId="62" xfId="0" applyNumberFormat="1" applyFont="1" applyFill="1" applyBorder="1" applyAlignment="1">
      <x:alignment horizontal="center" vertical="top" wrapText="1"/>
    </x:xf>
    <x:xf numFmtId="0" fontId="7" fillId="7" borderId="62" xfId="0" applyNumberFormat="1" applyFont="1" applyFill="1" applyBorder="1" applyAlignment="1">
      <x:alignment horizontal="center" vertical="center" wrapText="1"/>
    </x:xf>
    <x:xf numFmtId="0" fontId="6" fillId="7" borderId="41" xfId="0" applyNumberFormat="1" applyFont="1" applyFill="1" applyBorder="1" applyAlignment="1">
      <x:alignment vertical="top" wrapText="1"/>
    </x:xf>
    <x:xf numFmtId="0" fontId="7" fillId="7" borderId="41" xfId="0" applyNumberFormat="1" applyFont="1" applyFill="1" applyBorder="1" applyAlignment="1">
      <x:alignment vertical="top" wrapText="1"/>
    </x:xf>
    <x:xf numFmtId="0" fontId="7" fillId="7" borderId="63" xfId="0" applyNumberFormat="1" applyFont="1" applyFill="1" applyBorder="1" applyAlignment="1">
      <x:alignment vertical="top" wrapText="1"/>
    </x:xf>
    <x:xf numFmtId="0" fontId="7" fillId="7" borderId="63" xfId="0" applyNumberFormat="1" applyFont="1" applyFill="1" applyBorder="1" applyAlignment="1">
      <x:alignment horizontal="center" vertical="top" wrapText="1"/>
    </x:xf>
    <x:xf numFmtId="0" fontId="7" fillId="7" borderId="63" xfId="0" applyNumberFormat="1" applyFont="1" applyFill="1" applyBorder="1" applyAlignment="1">
      <x:alignment horizontal="center" vertical="center" wrapText="1"/>
    </x:xf>
    <x:xf numFmtId="0" fontId="6" fillId="8" borderId="32" xfId="0" applyNumberFormat="1" applyFont="1" applyFill="1" applyBorder="1" applyAlignment="1">
      <x:alignment vertical="top" wrapText="1"/>
    </x:xf>
    <x:xf numFmtId="0" fontId="7" fillId="8" borderId="32" xfId="0" applyNumberFormat="1" applyFont="1" applyFill="1" applyBorder="1" applyAlignment="1">
      <x:alignment vertical="top" wrapText="1"/>
    </x:xf>
    <x:xf numFmtId="0" fontId="7" fillId="8" borderId="62" xfId="0" applyNumberFormat="1" applyFont="1" applyFill="1" applyBorder="1" applyAlignment="1">
      <x:alignment vertical="top" wrapText="1"/>
    </x:xf>
    <x:xf numFmtId="0" fontId="7" fillId="8" borderId="62" xfId="0" applyNumberFormat="1" applyFont="1" applyFill="1" applyBorder="1" applyAlignment="1">
      <x:alignment horizontal="center" vertical="top" wrapText="1"/>
    </x:xf>
    <x:xf numFmtId="0" fontId="7" fillId="8" borderId="62" xfId="0" applyNumberFormat="1" applyFont="1" applyFill="1" applyBorder="1" applyAlignment="1">
      <x:alignment horizontal="center" vertical="center" wrapText="1"/>
    </x:xf>
    <x:xf numFmtId="0" fontId="6" fillId="8" borderId="41" xfId="0" applyNumberFormat="1" applyFont="1" applyFill="1" applyBorder="1" applyAlignment="1">
      <x:alignment vertical="top" wrapText="1"/>
    </x:xf>
    <x:xf numFmtId="0" fontId="7" fillId="8" borderId="41" xfId="0" applyNumberFormat="1" applyFont="1" applyFill="1" applyBorder="1" applyAlignment="1">
      <x:alignment vertical="top" wrapText="1"/>
    </x:xf>
    <x:xf numFmtId="0" fontId="7" fillId="8" borderId="63" xfId="0" applyNumberFormat="1" applyFont="1" applyFill="1" applyBorder="1" applyAlignment="1">
      <x:alignment vertical="top" wrapText="1"/>
    </x:xf>
    <x:xf numFmtId="0" fontId="7" fillId="8" borderId="63" xfId="0" applyNumberFormat="1" applyFont="1" applyFill="1" applyBorder="1" applyAlignment="1">
      <x:alignment horizontal="center" vertical="top" wrapText="1"/>
    </x:xf>
    <x:xf numFmtId="0" fontId="7" fillId="8" borderId="63" xfId="0" applyNumberFormat="1" applyFont="1" applyFill="1" applyBorder="1" applyAlignment="1">
      <x:alignment horizontal="center" vertical="center" wrapText="1"/>
    </x:xf>
    <x:xf numFmtId="0" fontId="6" fillId="7" borderId="52" xfId="0" applyNumberFormat="1" applyFont="1" applyFill="1" applyBorder="1" applyAlignment="1">
      <x:alignment vertical="top" wrapText="1"/>
    </x:xf>
    <x:xf numFmtId="0" fontId="7" fillId="7" borderId="52" xfId="0" applyNumberFormat="1" applyFont="1" applyFill="1" applyBorder="1" applyAlignment="1">
      <x:alignment vertical="top" wrapText="1"/>
    </x:xf>
    <x:xf numFmtId="0" fontId="6" fillId="7" borderId="60" xfId="0" applyNumberFormat="1" applyFont="1" applyFill="1" applyBorder="1" applyAlignment="1">
      <x:alignment vertical="top" wrapText="1"/>
    </x:xf>
    <x:xf numFmtId="0" fontId="7" fillId="7" borderId="60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/>
    <x:xf numFmtId="0" fontId="8" fillId="5" borderId="22" xfId="0" applyNumberFormat="1" applyFont="1" applyFill="1" applyBorder="1"/>
    <x:xf numFmtId="0" fontId="8" fillId="5" borderId="23" xfId="0" applyNumberFormat="1" applyFont="1" applyFill="1" applyBorder="1"/>
    <x:xf numFmtId="0" fontId="8" fillId="5" borderId="24" xfId="0" applyNumberFormat="1" applyFont="1" applyFill="1" applyBorder="1"/>
    <x:xf numFmtId="0" fontId="8" fillId="5" borderId="22" xfId="0" applyNumberFormat="1" applyFont="1" applyFill="1" applyBorder="1" applyAlignment="1">
      <x:alignment wrapText="1"/>
    </x:xf>
    <x:xf numFmtId="0" fontId="8" fillId="5" borderId="23" xfId="0" applyNumberFormat="1" applyFont="1" applyFill="1" applyBorder="1" applyAlignment="1">
      <x:alignment wrapText="1"/>
    </x:xf>
    <x:xf numFmtId="0" fontId="8" fillId="5" borderId="24" xfId="0" applyNumberFormat="1" applyFont="1" applyFill="1" applyBorder="1" applyAlignment="1">
      <x:alignment wrapText="1"/>
    </x:xf>
    <x:xf numFmtId="0" fontId="8" fillId="5" borderId="22" xfId="0" applyNumberFormat="1" applyFont="1" applyFill="1" applyBorder="1" applyAlignment="1">
      <x:alignment horizontal="center" wrapText="1"/>
    </x:xf>
    <x:xf numFmtId="0" fontId="8" fillId="5" borderId="23" xfId="0" applyNumberFormat="1" applyFont="1" applyFill="1" applyBorder="1" applyAlignment="1">
      <x:alignment horizontal="center" wrapText="1"/>
    </x:xf>
    <x:xf numFmtId="0" fontId="8" fillId="5" borderId="24" xfId="0" applyNumberFormat="1" applyFont="1" applyFill="1" applyBorder="1" applyAlignment="1">
      <x:alignment horizontal="center" wrapText="1"/>
    </x:xf>
    <x:xf numFmtId="0" fontId="8" fillId="5" borderId="1" xfId="0" applyNumberFormat="1" applyFont="1" applyFill="1" applyBorder="1"/>
    <x:xf numFmtId="0" fontId="8" fillId="5" borderId="25" xfId="0" applyNumberFormat="1" applyFont="1" applyFill="1" applyBorder="1"/>
    <x:xf numFmtId="0" fontId="8" fillId="5" borderId="26" xfId="0" applyNumberFormat="1" applyFont="1" applyFill="1" applyBorder="1"/>
    <x:xf numFmtId="0" fontId="8" fillId="5" borderId="27" xfId="0" applyNumberFormat="1" applyFont="1" applyFill="1" applyBorder="1"/>
    <x:xf numFmtId="0" fontId="8" fillId="5" borderId="25" xfId="0" applyNumberFormat="1" applyFont="1" applyFill="1" applyBorder="1" applyAlignment="1">
      <x:alignment wrapText="1"/>
    </x:xf>
    <x:xf numFmtId="0" fontId="8" fillId="5" borderId="26" xfId="0" applyNumberFormat="1" applyFont="1" applyFill="1" applyBorder="1" applyAlignment="1">
      <x:alignment wrapText="1"/>
    </x:xf>
    <x:xf numFmtId="0" fontId="8" fillId="5" borderId="27" xfId="0" applyNumberFormat="1" applyFont="1" applyFill="1" applyBorder="1" applyAlignment="1">
      <x:alignment wrapText="1"/>
    </x:xf>
    <x:xf numFmtId="0" fontId="8" fillId="5" borderId="25" xfId="0" applyNumberFormat="1" applyFont="1" applyFill="1" applyBorder="1" applyAlignment="1">
      <x:alignment horizontal="center" wrapText="1"/>
    </x:xf>
    <x:xf numFmtId="0" fontId="8" fillId="5" borderId="26" xfId="0" applyNumberFormat="1" applyFont="1" applyFill="1" applyBorder="1" applyAlignment="1">
      <x:alignment horizontal="center" wrapText="1"/>
    </x:xf>
    <x:xf numFmtId="0" fontId="8" fillId="5" borderId="27" xfId="0" applyNumberFormat="1" applyFont="1" applyFill="1" applyBorder="1" applyAlignment="1">
      <x:alignment horizontal="center" wrapText="1"/>
    </x:xf>
    <x:xf numFmtId="0" fontId="6" fillId="6" borderId="29" xfId="0" applyNumberFormat="1" applyFont="1" applyFill="1" applyBorder="1" applyAlignment="1">
      <x:alignment vertical="top" wrapText="1"/>
    </x:xf>
    <x:xf numFmtId="0" fontId="7" fillId="6" borderId="29" xfId="0" applyNumberFormat="1" applyFont="1" applyFill="1" applyBorder="1" applyAlignment="1">
      <x:alignment vertical="top" wrapText="1"/>
    </x:xf>
    <x:xf numFmtId="0" fontId="7" fillId="6" borderId="29" xfId="0" applyNumberFormat="1" applyFont="1" applyFill="1" applyBorder="1" applyAlignment="1">
      <x:alignment horizontal="center" vertical="top" wrapText="1"/>
    </x:xf>
    <x:xf numFmtId="0" fontId="6" fillId="6" borderId="38" xfId="0" applyNumberFormat="1" applyFont="1" applyFill="1" applyBorder="1" applyAlignment="1">
      <x:alignment vertical="top" wrapText="1"/>
    </x:xf>
    <x:xf numFmtId="0" fontId="7" fillId="6" borderId="38" xfId="0" applyNumberFormat="1" applyFont="1" applyFill="1" applyBorder="1" applyAlignment="1">
      <x:alignment vertical="top" wrapText="1"/>
    </x:xf>
    <x:xf numFmtId="0" fontId="7" fillId="6" borderId="38" xfId="0" applyNumberFormat="1" applyFont="1" applyFill="1" applyBorder="1" applyAlignment="1">
      <x:alignment horizontal="center" vertical="top" wrapText="1"/>
    </x:xf>
    <x:xf numFmtId="0" fontId="7" fillId="6" borderId="32" xfId="0" applyNumberFormat="1" applyFont="1" applyFill="1" applyBorder="1" applyAlignment="1">
      <x:alignment horizontal="center" vertical="top" wrapText="1"/>
    </x:xf>
    <x:xf numFmtId="0" fontId="7" fillId="6" borderId="41" xfId="0" applyNumberFormat="1" applyFont="1" applyFill="1" applyBorder="1" applyAlignment="1">
      <x:alignment horizontal="center" vertical="top" wrapText="1"/>
    </x:xf>
    <x:xf numFmtId="0" fontId="7" fillId="8" borderId="32" xfId="0" applyNumberFormat="1" applyFont="1" applyFill="1" applyBorder="1" applyAlignment="1">
      <x:alignment horizontal="center" vertical="top" wrapText="1"/>
    </x:xf>
    <x:xf numFmtId="0" fontId="7" fillId="8" borderId="41" xfId="0" applyNumberFormat="1" applyFont="1" applyFill="1" applyBorder="1" applyAlignment="1">
      <x:alignment horizontal="center" vertical="top" wrapText="1"/>
    </x:xf>
    <x:xf numFmtId="0" fontId="6" fillId="7" borderId="35" xfId="0" applyNumberFormat="1" applyFont="1" applyFill="1" applyBorder="1" applyAlignment="1">
      <x:alignment vertical="top" wrapText="1"/>
    </x:xf>
    <x:xf numFmtId="0" fontId="7" fillId="7" borderId="35" xfId="0" applyNumberFormat="1" applyFont="1" applyFill="1" applyBorder="1" applyAlignment="1">
      <x:alignment vertical="top" wrapText="1"/>
    </x:xf>
    <x:xf numFmtId="0" fontId="7" fillId="7" borderId="35" xfId="0" applyNumberFormat="1" applyFont="1" applyFill="1" applyBorder="1" applyAlignment="1">
      <x:alignment horizontal="center" vertical="top" wrapText="1"/>
    </x:xf>
    <x:xf numFmtId="0" fontId="6" fillId="7" borderId="44" xfId="0" applyNumberFormat="1" applyFont="1" applyFill="1" applyBorder="1" applyAlignment="1">
      <x:alignment vertical="top" wrapText="1"/>
    </x:xf>
    <x:xf numFmtId="0" fontId="7" fillId="7" borderId="44" xfId="0" applyNumberFormat="1" applyFont="1" applyFill="1" applyBorder="1" applyAlignment="1">
      <x:alignment vertical="top" wrapText="1"/>
    </x:xf>
    <x:xf numFmtId="0" fontId="7" fillId="7" borderId="44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e7af8b77004302" /><Relationship Type="http://schemas.openxmlformats.org/officeDocument/2006/relationships/theme" Target="/xl/theme/theme1.xml" Id="R3d92083f23f247ec" /><Relationship Type="http://schemas.openxmlformats.org/officeDocument/2006/relationships/sharedStrings" Target="/xl/sharedStrings.xml" Id="R4f944c9b4dc94120" /><Relationship Type="http://schemas.openxmlformats.org/officeDocument/2006/relationships/worksheet" Target="/xl/worksheets/sheet1.xml" Id="Ra709c22af84149ba" /><Relationship Type="http://schemas.openxmlformats.org/officeDocument/2006/relationships/worksheet" Target="/xl/worksheets/sheet2.xml" Id="R789b612a31384299" /><Relationship Type="http://schemas.openxmlformats.org/officeDocument/2006/relationships/worksheet" Target="/xl/worksheets/sheet3.xml" Id="Rdbe2ff9787054d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5" hidden="0" customWidth="1"/>
    <x:col min="3" max="3" width="18" hidden="0" customWidth="1"/>
    <x:col min="4" max="4" width="20" hidden="0" customWidth="1"/>
    <x:col min="5" max="5" width="40" hidden="0" customWidth="1"/>
    <x:col min="6" max="6" width="16" hidden="0" customWidth="1"/>
    <x:col min="7" max="7" width="8" hidden="0" customWidth="1"/>
    <x:col min="8" max="8" width="8" hidden="0" customWidth="1"/>
    <x:col min="9" max="9" width="55" hidden="0" customWidth="1"/>
  </x:cols>
  <x:sheetData>
    <x:row r="1">
      <x:c r="A1" s="10" t="str">
        <x:v>Definition of Done - Semana 8 | Hotel Pacific Reef</x:v>
      </x:c>
      <x:c r="B1" s="11"/>
      <x:c r="C1" s="11"/>
      <x:c r="D1" s="11"/>
      <x:c r="E1" s="11"/>
      <x:c r="F1" s="11"/>
      <x:c r="G1" s="192"/>
      <x:c r="H1" s="192"/>
      <x:c r="I1" s="12"/>
    </x:row>
    <x:row r="3">
      <x:c r="A3" s="38" t="str">
        <x:v>Total criterios</x:v>
      </x:c>
      <x:c r="B3" s="23" t="n">
        <x:f>COUNTA(A10:A35)</x:f>
        <x:v>26</x:v>
      </x:c>
      <x:c r="C3"/>
      <x:c r="D3" s="48" t="str">
        <x:v>Escala utilizada: Completado = 3, En proceso = 2, Por validar = 1, Pendiente = 0. Este DOD se aplica al release Semana 8: MVP funcional, SQLite, Open-Meteo, endpoints JSON, cliente asociado, pruebas y evidencias.</x:v>
      </x:c>
      <x:c r="E3"/>
      <x:c r="F3"/>
      <x:c r="G3"/>
      <x:c r="H3"/>
      <x:c r="I3"/>
    </x:row>
    <x:row r="4">
      <x:c r="A4" s="39" t="str">
        <x:v>Puntaje obtenido</x:v>
      </x:c>
      <x:c r="B4" s="25" t="n">
        <x:f>SUM(G10:G35)</x:f>
        <x:v>65</x:v>
      </x:c>
      <x:c r="C4"/>
      <x:c r="D4"/>
      <x:c r="E4"/>
      <x:c r="F4"/>
      <x:c r="G4"/>
      <x:c r="H4"/>
      <x:c r="I4"/>
    </x:row>
    <x:row r="5">
      <x:c r="A5" s="39" t="str">
        <x:v>Puntaje máximo</x:v>
      </x:c>
      <x:c r="B5" s="25" t="n">
        <x:f>SUM(H10:H35)</x:f>
        <x:v>78</x:v>
      </x:c>
      <x:c r="C5"/>
      <x:c r="D5"/>
      <x:c r="E5"/>
      <x:c r="F5"/>
      <x:c r="G5"/>
      <x:c r="H5"/>
      <x:c r="I5"/>
    </x:row>
    <x:row r="6">
      <x:c r="A6" s="40" t="str">
        <x:v>Cumplimiento</x:v>
      </x:c>
      <x:c r="B6" s="27" t="n">
        <x:f>B4/B5</x:f>
        <x:v>0.8333333333333334</x:v>
      </x:c>
      <x:c r="C6"/>
      <x:c r="D6"/>
      <x:c r="E6"/>
      <x:c r="F6"/>
      <x:c r="G6"/>
      <x:c r="H6"/>
      <x:c r="I6"/>
    </x:row>
    <x:row r="9" ht="15" hidden="0" customHeight="1">
      <x:c r="A9" s="65" t="str">
        <x:v>ID</x:v>
      </x:c>
      <x:c r="B9" s="66" t="str">
        <x:v>Criterio DOD Semana 8</x:v>
      </x:c>
      <x:c r="C9" s="66" t="str">
        <x:v>Tipo</x:v>
      </x:c>
      <x:c r="D9" s="66" t="str">
        <x:v>Responsable</x:v>
      </x:c>
      <x:c r="E9" s="66" t="str">
        <x:v>Evidencia requerida</x:v>
      </x:c>
      <x:c r="F9" s="66" t="str">
        <x:v>Estado</x:v>
      </x:c>
      <x:c r="G9" s="66" t="str">
        <x:v>Valor</x:v>
      </x:c>
      <x:c r="H9" s="66" t="str">
        <x:v>Máx.</x:v>
      </x:c>
      <x:c r="I9" s="67" t="str">
        <x:v>Observaciones</x:v>
      </x:c>
    </x:row>
    <x:row r="10" ht="24.4140625" hidden="0" customHeight="1">
      <x:c r="A10" s="138" t="str">
        <x:v>DOD-S8-01</x:v>
      </x:c>
      <x:c r="B10" s="139" t="str">
        <x:v>La aplicación Flask se ejecuta correctamente en ambiente local de prueba.</x:v>
      </x:c>
      <x:c r="C10" s="139" t="str">
        <x:v>Back-end</x:v>
      </x:c>
      <x:c r="D10" s="139" t="str">
        <x:v>Pablo</x:v>
      </x:c>
      <x:c r="E10" s="139" t="str">
        <x:v>evidencia_hito1_inicio_s8.png</x:v>
      </x:c>
      <x:c r="F10" s="158" t="str">
        <x:v>Completado</x:v>
      </x:c>
      <x:c r="G10" s="139" t="n">
        <x:v>3</x:v>
      </x:c>
      <x:c r="H10" s="139" t="n">
        <x:v>3</x:v>
      </x:c>
      <x:c r="I10" s="140" t="str">
        <x:v>Servidor local operativo y página inicial visible.</x:v>
      </x:c>
    </x:row>
    <x:row r="11" ht="24.4140625" hidden="0" customHeight="1">
      <x:c r="A11" s="141" t="str">
        <x:v>DOD-S8-02</x:v>
      </x:c>
      <x:c r="B11" s="105" t="str">
        <x:v>La aplicación se conecta correctamente a la base de datos SQLite del proyecto.</x:v>
      </x:c>
      <x:c r="C11" s="105" t="str">
        <x:v>BD</x:v>
      </x:c>
      <x:c r="D11" s="105" t="str">
        <x:v>Pablo</x:v>
      </x:c>
      <x:c r="E11" s="105" t="str">
        <x:v>evidencia_hito1_health_db_s8.png</x:v>
      </x:c>
      <x:c r="F11" s="158" t="str">
        <x:v>Completado</x:v>
      </x:c>
      <x:c r="G11" s="105" t="n">
        <x:v>3</x:v>
      </x:c>
      <x:c r="H11" s="105" t="n">
        <x:v>3</x:v>
      </x:c>
      <x:c r="I11" s="142" t="str">
        <x:v>Se detectan tablas principales del sistema.</x:v>
      </x:c>
    </x:row>
    <x:row r="12" ht="24.4140625" hidden="0" customHeight="1">
      <x:c r="A12" s="141" t="str">
        <x:v>DOD-S8-03</x:v>
      </x:c>
      <x:c r="B12" s="105" t="str">
        <x:v>El usuario puede consultar disponibilidad ingresando fechas y cantidad de huéspedes.</x:v>
      </x:c>
      <x:c r="C12" s="105" t="str">
        <x:v>Front/Back</x:v>
      </x:c>
      <x:c r="D12" s="105" t="str">
        <x:v>Pablo / Equipo</x:v>
      </x:c>
      <x:c r="E12" s="105" t="str">
        <x:v>evidencia_hito1_consulta_disponibilidad_s8.png</x:v>
      </x:c>
      <x:c r="F12" s="158" t="str">
        <x:v>Completado</x:v>
      </x:c>
      <x:c r="G12" s="105" t="n">
        <x:v>3</x:v>
      </x:c>
      <x:c r="H12" s="105" t="n">
        <x:v>3</x:v>
      </x:c>
      <x:c r="I12" s="142" t="str">
        <x:v>Formulario procesa datos y devuelve habitaciones disponibles.</x:v>
      </x:c>
    </x:row>
    <x:row r="13" ht="24.4140625" hidden="0" customHeight="1">
      <x:c r="A13" s="141" t="str">
        <x:v>DOD-S8-04</x:v>
      </x:c>
      <x:c r="B13" s="105" t="str">
        <x:v>El sistema valida que la fecha de salida sea posterior a la fecha de entrada.</x:v>
      </x:c>
      <x:c r="C13" s="105" t="str">
        <x:v>Validación</x:v>
      </x:c>
      <x:c r="D13" s="105" t="str">
        <x:v>Pablo</x:v>
      </x:c>
      <x:c r="E13" s="105" t="str">
        <x:v>evidencia_hito3_api_disponibilidad_error_s8.png</x:v>
      </x:c>
      <x:c r="F13" s="158" t="str">
        <x:v>Completado</x:v>
      </x:c>
      <x:c r="G13" s="105" t="n">
        <x:v>3</x:v>
      </x:c>
      <x:c r="H13" s="105" t="n">
        <x:v>3</x:v>
      </x:c>
      <x:c r="I13" s="142" t="str">
        <x:v>Validación disponible en interfaz y endpoint JSON.</x:v>
      </x:c>
    </x:row>
    <x:row r="14" ht="24.4140625" hidden="0" customHeight="1">
      <x:c r="A14" s="141" t="str">
        <x:v>DOD-S8-05</x:v>
      </x:c>
      <x:c r="B14" s="105" t="str">
        <x:v>El sistema informa cuando no existen habitaciones disponibles para los criterios ingresados.</x:v>
      </x:c>
      <x:c r="C14" s="105" t="str">
        <x:v>Validación</x:v>
      </x:c>
      <x:c r="D14" s="105" t="str">
        <x:v>Equipo</x:v>
      </x:c>
      <x:c r="E14" s="105" t="str">
        <x:v>evidencia_hito3_sin_disponibilidad.png</x:v>
      </x:c>
      <x:c r="F14" s="158" t="str">
        <x:v>Completado</x:v>
      </x:c>
      <x:c r="G14" s="105" t="n">
        <x:v>3</x:v>
      </x:c>
      <x:c r="H14" s="105" t="n">
        <x:v>3</x:v>
      </x:c>
      <x:c r="I14" s="142" t="str">
        <x:v>Caso heredado y validado desde MVP funcional.</x:v>
      </x:c>
    </x:row>
    <x:row r="15" ht="24.4140625" hidden="0" customHeight="1">
      <x:c r="A15" s="141" t="str">
        <x:v>DOD-S8-06</x:v>
      </x:c>
      <x:c r="B15" s="105" t="str">
        <x:v>El listado de habitaciones disponibles permite seleccionar una habitación para reservar.</x:v>
      </x:c>
      <x:c r="C15" s="105" t="str">
        <x:v>Front-end</x:v>
      </x:c>
      <x:c r="D15" s="105" t="str">
        <x:v>Equipo</x:v>
      </x:c>
      <x:c r="E15" s="105" t="str">
        <x:v>evidencia_hito1_formulario_reserva_s8.png</x:v>
      </x:c>
      <x:c r="F15" s="158" t="str">
        <x:v>Completado</x:v>
      </x:c>
      <x:c r="G15" s="105" t="n">
        <x:v>3</x:v>
      </x:c>
      <x:c r="H15" s="105" t="n">
        <x:v>3</x:v>
      </x:c>
      <x:c r="I15" s="142" t="str">
        <x:v>Botón Reservar visible en habitaciones disponibles.</x:v>
      </x:c>
    </x:row>
    <x:row r="16" ht="24.4140625" hidden="0" customHeight="1">
      <x:c r="A16" s="141" t="str">
        <x:v>DOD-S8-07</x:v>
      </x:c>
      <x:c r="B16" s="105" t="str">
        <x:v>El formulario de reserva muestra habitación, estadía, total, abono del 30% y saldo pendiente.</x:v>
      </x:c>
      <x:c r="C16" s="105" t="str">
        <x:v>Front/Back</x:v>
      </x:c>
      <x:c r="D16" s="105" t="str">
        <x:v>Pablo</x:v>
      </x:c>
      <x:c r="E16" s="105" t="str">
        <x:v>evidencia_hito4_formulario_reserva_cliente_s8.png</x:v>
      </x:c>
      <x:c r="F16" s="158" t="str">
        <x:v>Completado</x:v>
      </x:c>
      <x:c r="G16" s="105" t="n">
        <x:v>3</x:v>
      </x:c>
      <x:c r="H16" s="105" t="n">
        <x:v>3</x:v>
      </x:c>
      <x:c r="I16" s="142" t="str">
        <x:v>Cálculos presentados antes de confirmar.</x:v>
      </x:c>
    </x:row>
    <x:row r="17" ht="24.4140625" hidden="0" customHeight="1">
      <x:c r="A17" s="141" t="str">
        <x:v>DOD-S8-08</x:v>
      </x:c>
      <x:c r="B17" s="105" t="str">
        <x:v>El sistema busca o crea un cliente usando el correo ingresado en el formulario.</x:v>
      </x:c>
      <x:c r="C17" s="105" t="str">
        <x:v>Back-end / BD</x:v>
      </x:c>
      <x:c r="D17" s="105" t="str">
        <x:v>Pablo</x:v>
      </x:c>
      <x:c r="E17" s="105" t="str">
        <x:v>evidencia_hito4_cliente_creado_sqlite_s8.png</x:v>
      </x:c>
      <x:c r="F17" s="158" t="str">
        <x:v>Completado</x:v>
      </x:c>
      <x:c r="G17" s="105" t="n">
        <x:v>3</x:v>
      </x:c>
      <x:c r="H17" s="105" t="n">
        <x:v>3</x:v>
      </x:c>
      <x:c r="I17" s="142" t="str">
        <x:v>Se creó/reutilizó cliente real con id_cliente 5.</x:v>
      </x:c>
    </x:row>
    <x:row r="18" ht="24.4140625" hidden="0" customHeight="1">
      <x:c r="A18" s="141" t="str">
        <x:v>DOD-S8-09</x:v>
      </x:c>
      <x:c r="B18" s="105" t="str">
        <x:v>La reserva queda asociada al id_cliente real y no a un cliente fijo de prueba.</x:v>
      </x:c>
      <x:c r="C18" s="105" t="str">
        <x:v>Back-end / BD</x:v>
      </x:c>
      <x:c r="D18" s="105" t="str">
        <x:v>Pablo</x:v>
      </x:c>
      <x:c r="E18" s="105" t="str">
        <x:v>evidencia_hito4_reserva_cliente_real_s8.png</x:v>
      </x:c>
      <x:c r="F18" s="158" t="str">
        <x:v>Completado</x:v>
      </x:c>
      <x:c r="G18" s="105" t="n">
        <x:v>3</x:v>
      </x:c>
      <x:c r="H18" s="105" t="n">
        <x:v>3</x:v>
      </x:c>
      <x:c r="I18" s="142" t="str">
        <x:v>Reserva id_reserva 7 asociada a id_cliente 5.</x:v>
      </x:c>
    </x:row>
    <x:row r="19" ht="15" hidden="0" customHeight="1">
      <x:c r="A19" s="141" t="str">
        <x:v>DOD-S8-10</x:v>
      </x:c>
      <x:c r="B19" s="105" t="str">
        <x:v>La reserva se inserta realmente en la tabla reserva de SQLite.</x:v>
      </x:c>
      <x:c r="C19" s="105" t="str">
        <x:v>BD</x:v>
      </x:c>
      <x:c r="D19" s="105" t="str">
        <x:v>Pablo</x:v>
      </x:c>
      <x:c r="E19" s="105" t="str">
        <x:v>evidencia_hito4_reserva_cliente_real_s8.png</x:v>
      </x:c>
      <x:c r="F19" s="158" t="str">
        <x:v>Completado</x:v>
      </x:c>
      <x:c r="G19" s="105" t="n">
        <x:v>3</x:v>
      </x:c>
      <x:c r="H19" s="105" t="n">
        <x:v>3</x:v>
      </x:c>
      <x:c r="I19" s="142" t="str">
        <x:v>Inserción validada por consulta directa en SQLite.</x:v>
      </x:c>
    </x:row>
    <x:row r="20" ht="24.4140625" hidden="0" customHeight="1">
      <x:c r="A20" s="141" t="str">
        <x:v>DOD-S8-11</x:v>
      </x:c>
      <x:c r="B20" s="105" t="str">
        <x:v>El sistema muestra confirmación de reserva con código, fechas, valores y cliente asociado.</x:v>
      </x:c>
      <x:c r="C20" s="105" t="str">
        <x:v>Front/Back</x:v>
      </x:c>
      <x:c r="D20" s="105" t="str">
        <x:v>Pablo</x:v>
      </x:c>
      <x:c r="E20" s="105" t="str">
        <x:v>evidencia_hito5_confirmacion_cliente_s8.png</x:v>
      </x:c>
      <x:c r="F20" s="158" t="str">
        <x:v>Completado</x:v>
      </x:c>
      <x:c r="G20" s="105" t="n">
        <x:v>3</x:v>
      </x:c>
      <x:c r="H20" s="105" t="n">
        <x:v>3</x:v>
      </x:c>
      <x:c r="I20" s="142" t="str">
        <x:v>Confirmación muestra Cliente Hito 4, correo y teléfono.</x:v>
      </x:c>
    </x:row>
    <x:row r="21" ht="24.4140625" hidden="0" customHeight="1">
      <x:c r="A21" s="141" t="str">
        <x:v>DOD-S8-12</x:v>
      </x:c>
      <x:c r="B21" s="105" t="str">
        <x:v>El panel administrador permite consultar reservas con datos de cliente, correo y teléfono.</x:v>
      </x:c>
      <x:c r="C21" s="105" t="str">
        <x:v>Admin</x:v>
      </x:c>
      <x:c r="D21" s="105" t="str">
        <x:v>Pablo / Equipo</x:v>
      </x:c>
      <x:c r="E21" s="105" t="str">
        <x:v>evidencia_hito5_panel_admin_cliente_s8.png</x:v>
      </x:c>
      <x:c r="F21" s="158" t="str">
        <x:v>Completado</x:v>
      </x:c>
      <x:c r="G21" s="105" t="n">
        <x:v>3</x:v>
      </x:c>
      <x:c r="H21" s="105" t="n">
        <x:v>3</x:v>
      </x:c>
      <x:c r="I21" s="142" t="str">
        <x:v>Panel administrativo actualizado con columnas de cliente.</x:v>
      </x:c>
    </x:row>
    <x:row r="22" ht="24.4140625" hidden="0" customHeight="1">
      <x:c r="A22" s="141" t="str">
        <x:v>DOD-S8-13</x:v>
      </x:c>
      <x:c r="B22" s="105" t="str">
        <x:v>La vista /destino consume un servicio web externo y muestra clima del destino.</x:v>
      </x:c>
      <x:c r="C22" s="105" t="str">
        <x:v>API externa</x:v>
      </x:c>
      <x:c r="D22" s="105" t="str">
        <x:v>Pablo</x:v>
      </x:c>
      <x:c r="E22" s="105" t="str">
        <x:v>evidencia_hito2_clima_destino_s8.png</x:v>
      </x:c>
      <x:c r="F22" s="158" t="str">
        <x:v>Completado</x:v>
      </x:c>
      <x:c r="G22" s="105" t="n">
        <x:v>3</x:v>
      </x:c>
      <x:c r="H22" s="105" t="n">
        <x:v>3</x:v>
      </x:c>
      <x:c r="I22" s="142" t="str">
        <x:v>Integración con Open-Meteo funcionando.</x:v>
      </x:c>
    </x:row>
    <x:row r="23" ht="15" hidden="0" customHeight="1">
      <x:c r="A23" s="141" t="str">
        <x:v>DOD-S8-14</x:v>
      </x:c>
      <x:c r="B23" s="105" t="str">
        <x:v>El sistema muestra condición climática legible para el usuario final.</x:v>
      </x:c>
      <x:c r="C23" s="105" t="str">
        <x:v>Front-end</x:v>
      </x:c>
      <x:c r="D23" s="105" t="str">
        <x:v>Pablo</x:v>
      </x:c>
      <x:c r="E23" s="105" t="str">
        <x:v>evidencia_hito2_clima_destino_s8.png</x:v>
      </x:c>
      <x:c r="F23" s="158" t="str">
        <x:v>Completado</x:v>
      </x:c>
      <x:c r="G23" s="105" t="n">
        <x:v>3</x:v>
      </x:c>
      <x:c r="H23" s="105" t="n">
        <x:v>3</x:v>
      </x:c>
      <x:c r="I23" s="142" t="str">
        <x:v>Código climático traducido a descripción legible.</x:v>
      </x:c>
    </x:row>
    <x:row r="24" ht="15" hidden="0" customHeight="1">
      <x:c r="A24" s="141" t="str">
        <x:v>DOD-S8-15</x:v>
      </x:c>
      <x:c r="B24" s="105" t="str">
        <x:v>El endpoint /api/health responde correctamente en formato JSON.</x:v>
      </x:c>
      <x:c r="C24" s="105" t="str">
        <x:v>API JSON</x:v>
      </x:c>
      <x:c r="D24" s="105" t="str">
        <x:v>Pablo</x:v>
      </x:c>
      <x:c r="E24" s="105" t="str">
        <x:v>evidencia_hito3_api_health_s8.png</x:v>
      </x:c>
      <x:c r="F24" s="158" t="str">
        <x:v>Completado</x:v>
      </x:c>
      <x:c r="G24" s="105" t="n">
        <x:v>3</x:v>
      </x:c>
      <x:c r="H24" s="105" t="n">
        <x:v>3</x:v>
      </x:c>
      <x:c r="I24" s="142" t="str">
        <x:v>Devuelve ok, mensaje, ruta de BD y tablas.</x:v>
      </x:c>
    </x:row>
    <x:row r="25" ht="15" hidden="0" customHeight="1">
      <x:c r="A25" s="141" t="str">
        <x:v>DOD-S8-16</x:v>
      </x:c>
      <x:c r="B25" s="105" t="str">
        <x:v>El endpoint /api/reservas responde correctamente en formato JSON.</x:v>
      </x:c>
      <x:c r="C25" s="105" t="str">
        <x:v>API JSON</x:v>
      </x:c>
      <x:c r="D25" s="105" t="str">
        <x:v>Pablo</x:v>
      </x:c>
      <x:c r="E25" s="105" t="str">
        <x:v>evidencia_hito3_api_reservas_s8.png</x:v>
      </x:c>
      <x:c r="F25" s="158" t="str">
        <x:v>Completado</x:v>
      </x:c>
      <x:c r="G25" s="105" t="n">
        <x:v>3</x:v>
      </x:c>
      <x:c r="H25" s="105" t="n">
        <x:v>3</x:v>
      </x:c>
      <x:c r="I25" s="142" t="str">
        <x:v>Expone reservas registradas en SQLite.</x:v>
      </x:c>
    </x:row>
    <x:row r="26" ht="24.4140625" hidden="0" customHeight="1">
      <x:c r="A26" s="141" t="str">
        <x:v>DOD-S8-17</x:v>
      </x:c>
      <x:c r="B26" s="105" t="str">
        <x:v>El endpoint /api/disponibilidad responde correctamente con datos válidos.</x:v>
      </x:c>
      <x:c r="C26" s="105" t="str">
        <x:v>API JSON</x:v>
      </x:c>
      <x:c r="D26" s="105" t="str">
        <x:v>Pablo</x:v>
      </x:c>
      <x:c r="E26" s="105" t="str">
        <x:v>evidencia_hito3_api_disponibilidad_s8.png</x:v>
      </x:c>
      <x:c r="F26" s="158" t="str">
        <x:v>Completado</x:v>
      </x:c>
      <x:c r="G26" s="105" t="n">
        <x:v>3</x:v>
      </x:c>
      <x:c r="H26" s="105" t="n">
        <x:v>3</x:v>
      </x:c>
      <x:c r="I26" s="142" t="str">
        <x:v>Devuelve habitaciones disponibles y parámetros consultados.</x:v>
      </x:c>
    </x:row>
    <x:row r="27" ht="24.4140625" hidden="0" customHeight="1">
      <x:c r="A27" s="141" t="str">
        <x:v>DOD-S8-18</x:v>
      </x:c>
      <x:c r="B27" s="105" t="str">
        <x:v>El endpoint /api/disponibilidad responde con error controlado ante fechas inválidas.</x:v>
      </x:c>
      <x:c r="C27" s="105" t="str">
        <x:v>API JSON</x:v>
      </x:c>
      <x:c r="D27" s="105" t="str">
        <x:v>Pablo</x:v>
      </x:c>
      <x:c r="E27" s="105" t="str">
        <x:v>evidencia_hito3_api_disponibilidad_error_s8.png</x:v>
      </x:c>
      <x:c r="F27" s="158" t="str">
        <x:v>Completado</x:v>
      </x:c>
      <x:c r="G27" s="105" t="n">
        <x:v>3</x:v>
      </x:c>
      <x:c r="H27" s="105" t="n">
        <x:v>3</x:v>
      </x:c>
      <x:c r="I27" s="142" t="str">
        <x:v>Devuelve ok false y mensaje de validación.</x:v>
      </x:c>
    </x:row>
    <x:row r="28" ht="24.4140625" hidden="0" customHeight="1">
      <x:c r="A28" s="141" t="str">
        <x:v>DOD-S8-19</x:v>
      </x:c>
      <x:c r="B28" s="105" t="str">
        <x:v>El endpoint /api/clima-destino expone la información climática en formato JSON.</x:v>
      </x:c>
      <x:c r="C28" s="105" t="str">
        <x:v>API JSON / externa</x:v>
      </x:c>
      <x:c r="D28" s="105" t="str">
        <x:v>Pablo</x:v>
      </x:c>
      <x:c r="E28" s="105" t="str">
        <x:v>evidencia_hito3_api_clima_destino_s8.png</x:v>
      </x:c>
      <x:c r="F28" s="158" t="str">
        <x:v>Completado</x:v>
      </x:c>
      <x:c r="G28" s="105" t="n">
        <x:v>3</x:v>
      </x:c>
      <x:c r="H28" s="105" t="n">
        <x:v>3</x:v>
      </x:c>
      <x:c r="I28" s="142" t="str">
        <x:v>Reutiliza la integración Open-Meteo.</x:v>
      </x:c>
    </x:row>
    <x:row r="29" ht="24.4140625" hidden="0" customHeight="1">
      <x:c r="A29" s="141" t="str">
        <x:v>DOD-S8-20</x:v>
      </x:c>
      <x:c r="B29" s="105" t="str">
        <x:v>La planilla de pruebas Semana 8 contiene casos del release funcional.</x:v>
      </x:c>
      <x:c r="C29" s="105" t="str">
        <x:v>Testing</x:v>
      </x:c>
      <x:c r="D29" s="105" t="str">
        <x:v>Pablo / Equipo</x:v>
      </x:c>
      <x:c r="E29" s="105" t="str">
        <x:v>PRY3211_Exp3_S8_Planilla_Testing_Hotel_Pacific_Reef.xlsx</x:v>
      </x:c>
      <x:c r="F29" s="158" t="str">
        <x:v>Completado</x:v>
      </x:c>
      <x:c r="G29" s="105" t="n">
        <x:v>3</x:v>
      </x:c>
      <x:c r="H29" s="105" t="n">
        <x:v>3</x:v>
      </x:c>
      <x:c r="I29" s="142" t="str">
        <x:v>Incluye pruebas del MVP, API externa, API JSON y cliente asociado.</x:v>
      </x:c>
    </x:row>
    <x:row r="30" ht="24.4140625" hidden="0" customHeight="1">
      <x:c r="A30" s="141" t="str">
        <x:v>DOD-S8-21</x:v>
      </x:c>
      <x:c r="B30" s="105" t="str">
        <x:v>El README y el inventario funcional reflejan el estado real del release Semana 8.</x:v>
      </x:c>
      <x:c r="C30" s="105" t="str">
        <x:v>Documentación</x:v>
      </x:c>
      <x:c r="D30" s="105" t="str">
        <x:v>Pablo</x:v>
      </x:c>
      <x:c r="E30" s="105" t="str">
        <x:v>README.md / inventario_funcional_release_s8.txt</x:v>
      </x:c>
      <x:c r="F30" s="158" t="str">
        <x:v>Completado</x:v>
      </x:c>
      <x:c r="G30" s="105" t="n">
        <x:v>3</x:v>
      </x:c>
      <x:c r="H30" s="105" t="n">
        <x:v>3</x:v>
      </x:c>
      <x:c r="I30" s="142" t="str">
        <x:v>Documentación base actualizada después de hitos técnicos.</x:v>
      </x:c>
    </x:row>
    <x:row r="31" ht="24.4140625" hidden="0" customHeight="1">
      <x:c r="A31" s="141" t="str">
        <x:v>DOD-S8-22</x:v>
      </x:c>
      <x:c r="B31" s="105" t="str">
        <x:v>El Manual de Usuario Testing queda preparado para que terceros ejecuten pruebas.</x:v>
      </x:c>
      <x:c r="C31" s="105" t="str">
        <x:v>Documentación</x:v>
      </x:c>
      <x:c r="D31" s="105" t="str">
        <x:v>Equipo</x:v>
      </x:c>
      <x:c r="E31" s="105" t="str">
        <x:v>Manual_Usuario_Testing_S8.docx</x:v>
      </x:c>
      <x:c r="F31" s="172" t="str">
        <x:v>Pendiente</x:v>
      </x:c>
      <x:c r="G31" s="105" t="n">
        <x:v>0</x:v>
      </x:c>
      <x:c r="H31" s="105" t="n">
        <x:v>3</x:v>
      </x:c>
      <x:c r="I31" s="142" t="str">
        <x:v>Pendiente de elaboración.</x:v>
      </x:c>
    </x:row>
    <x:row r="32" ht="15" hidden="0" customHeight="1">
      <x:c r="A32" s="141" t="str">
        <x:v>DOD-S8-23</x:v>
      </x:c>
      <x:c r="B32" s="105" t="str">
        <x:v>El repositorio GitHub queda actualizado con commits y acceso público.</x:v>
      </x:c>
      <x:c r="C32" s="105" t="str">
        <x:v>Git</x:v>
      </x:c>
      <x:c r="D32" s="105" t="str">
        <x:v>Pablo / Equipo</x:v>
      </x:c>
      <x:c r="E32" s="105" t="str">
        <x:v>Captura GitHub / enlace repo</x:v>
      </x:c>
      <x:c r="F32" s="182" t="str">
        <x:v>Por validar</x:v>
      </x:c>
      <x:c r="G32" s="105" t="n">
        <x:v>1</x:v>
      </x:c>
      <x:c r="H32" s="105" t="n">
        <x:v>3</x:v>
      </x:c>
      <x:c r="I32" s="142" t="str">
        <x:v>Requiere verificar push final y enlace público.</x:v>
      </x:c>
    </x:row>
    <x:row r="33" ht="24.4140625" hidden="0" customHeight="1">
      <x:c r="A33" s="141" t="str">
        <x:v>DOD-S8-24</x:v>
      </x:c>
      <x:c r="B33" s="105" t="str">
        <x:v>El tablero Trello queda actualizado con tareas, responsables, estados y evidencias.</x:v>
      </x:c>
      <x:c r="C33" s="105" t="str">
        <x:v>Trello</x:v>
      </x:c>
      <x:c r="D33" s="105" t="str">
        <x:v>Equipo</x:v>
      </x:c>
      <x:c r="E33" s="105" t="str">
        <x:v>Captura Trello Semana 8</x:v>
      </x:c>
      <x:c r="F33" s="182" t="str">
        <x:v>Por validar</x:v>
      </x:c>
      <x:c r="G33" s="105" t="n">
        <x:v>1</x:v>
      </x:c>
      <x:c r="H33" s="105" t="n">
        <x:v>3</x:v>
      </x:c>
      <x:c r="I33" s="142" t="str">
        <x:v>Pendiente de revisión final del tablero.</x:v>
      </x:c>
    </x:row>
    <x:row r="34" ht="24.4140625" hidden="0" customHeight="1">
      <x:c r="A34" s="141" t="str">
        <x:v>DOD-S8-25</x:v>
      </x:c>
      <x:c r="B34" s="105" t="str">
        <x:v>Los videos finales quedan grabados y enlazados en Trello/documento final.</x:v>
      </x:c>
      <x:c r="C34" s="105" t="str">
        <x:v>Entrega</x:v>
      </x:c>
      <x:c r="D34" s="105" t="str">
        <x:v>Equipo</x:v>
      </x:c>
      <x:c r="E34" s="105" t="str">
        <x:v>Link video demo y presentación Teams</x:v>
      </x:c>
      <x:c r="F34" s="172" t="str">
        <x:v>Pendiente</x:v>
      </x:c>
      <x:c r="G34" s="105" t="n">
        <x:v>0</x:v>
      </x:c>
      <x:c r="H34" s="105" t="n">
        <x:v>3</x:v>
      </x:c>
      <x:c r="I34" s="142" t="str">
        <x:v>Pendiente de grabar y subir enlaces.</x:v>
      </x:c>
    </x:row>
    <x:row r="35" ht="24.4140625" hidden="0" customHeight="1">
      <x:c r="A35" s="143" t="str">
        <x:v>DOD-S8-26</x:v>
      </x:c>
      <x:c r="B35" s="144" t="str">
        <x:v>El ZIP final queda limpio, sin .git, venv, __pycache__ ni archivos temporales.</x:v>
      </x:c>
      <x:c r="C35" s="144" t="str">
        <x:v>Entrega</x:v>
      </x:c>
      <x:c r="D35" s="144" t="str">
        <x:v>Pablo</x:v>
      </x:c>
      <x:c r="E35" s="144" t="str">
        <x:v>ZIP final AVA</x:v>
      </x:c>
      <x:c r="F35" s="172" t="str">
        <x:v>Pendiente</x:v>
      </x:c>
      <x:c r="G35" s="144" t="n">
        <x:v>0</x:v>
      </x:c>
      <x:c r="H35" s="144" t="n">
        <x:v>3</x:v>
      </x:c>
      <x:c r="I35" s="145" t="str">
        <x:v>Pendiente para el cierre final de entrega.</x:v>
      </x:c>
    </x:row>
  </x:sheetData>
  <x:mergeCells>
    <x:mergeCell ref="A1:I1"/>
    <x:mergeCell ref="D3:I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48" hidden="0" customWidth="1"/>
    <x:col min="4" max="4" width="34" hidden="0" customWidth="1"/>
    <x:col min="5" max="5" width="16" hidden="0" customWidth="1"/>
    <x:col min="6" max="6" width="50" hidden="0" customWidth="1"/>
  </x:cols>
  <x:sheetData>
    <x:row r="1">
      <x:c r="A1" s="4" t="str">
        <x:v>Evidencias funcionales - Release Semana 8</x:v>
      </x:c>
    </x:row>
    <x:row r="3">
      <x:c r="A3" s="201" t="str">
        <x:v>ID</x:v>
      </x:c>
      <x:c r="B3" s="202" t="str">
        <x:v>Hito</x:v>
      </x:c>
      <x:c r="C3" s="202" t="str">
        <x:v>Evidencia</x:v>
      </x:c>
      <x:c r="D3" s="202" t="str">
        <x:v>Carpeta</x:v>
      </x:c>
      <x:c r="E3" s="202" t="str">
        <x:v>Estado</x:v>
      </x:c>
      <x:c r="F3" s="203" t="str">
        <x:v>Observaciones</x:v>
      </x:c>
    </x:row>
    <x:row r="4">
      <x:c r="A4" s="101" t="str">
        <x:v>EV-01</x:v>
      </x:c>
      <x:c r="B4" s="102" t="str">
        <x:v>Hito 1</x:v>
      </x:c>
      <x:c r="C4" s="102" t="str">
        <x:v>evidencia_hito1_inicio_s8.png</x:v>
      </x:c>
      <x:c r="D4" s="102" t="str">
        <x:v>evidencias/semana8/frontend</x:v>
      </x:c>
      <x:c r="E4" s="216" t="str">
        <x:v>Disponible</x:v>
      </x:c>
      <x:c r="F4" s="103" t="str">
        <x:v>Página principal del release S8.</x:v>
      </x:c>
    </x:row>
    <x:row r="5">
      <x:c r="A5" s="104" t="str">
        <x:v>EV-02</x:v>
      </x:c>
      <x:c r="B5" s="105" t="str">
        <x:v>Hito 1</x:v>
      </x:c>
      <x:c r="C5" s="105" t="str">
        <x:v>evidencia_hito1_health_db_s8.png</x:v>
      </x:c>
      <x:c r="D5" s="105" t="str">
        <x:v>evidencias/semana8/base_datos</x:v>
      </x:c>
      <x:c r="E5" s="220" t="str">
        <x:v>Disponible</x:v>
      </x:c>
      <x:c r="F5" s="106" t="str">
        <x:v>Conexión SQLite.</x:v>
      </x:c>
    </x:row>
    <x:row r="6">
      <x:c r="A6" s="104" t="str">
        <x:v>EV-03</x:v>
      </x:c>
      <x:c r="B6" s="105" t="str">
        <x:v>Hito 1</x:v>
      </x:c>
      <x:c r="C6" s="105" t="str">
        <x:v>evidencia_hito1_consulta_disponibilidad_s8.png</x:v>
      </x:c>
      <x:c r="D6" s="105" t="str">
        <x:v>evidencias/semana8/frontend</x:v>
      </x:c>
      <x:c r="E6" s="220" t="str">
        <x:v>Disponible</x:v>
      </x:c>
      <x:c r="F6" s="106" t="str">
        <x:v>Consulta válida de disponibilidad.</x:v>
      </x:c>
    </x:row>
    <x:row r="7">
      <x:c r="A7" s="104" t="str">
        <x:v>EV-04</x:v>
      </x:c>
      <x:c r="B7" s="105" t="str">
        <x:v>Hito 1</x:v>
      </x:c>
      <x:c r="C7" s="105" t="str">
        <x:v>evidencia_hito1_formulario_reserva_s8.png</x:v>
      </x:c>
      <x:c r="D7" s="105" t="str">
        <x:v>evidencias/semana8/frontend</x:v>
      </x:c>
      <x:c r="E7" s="220" t="str">
        <x:v>Disponible</x:v>
      </x:c>
      <x:c r="F7" s="106" t="str">
        <x:v>Formulario de reserva.</x:v>
      </x:c>
    </x:row>
    <x:row r="8">
      <x:c r="A8" s="104" t="str">
        <x:v>EV-05</x:v>
      </x:c>
      <x:c r="B8" s="105" t="str">
        <x:v>Hito 1</x:v>
      </x:c>
      <x:c r="C8" s="105" t="str">
        <x:v>evidencia_hito1_confirmacion_reserva_s8.png</x:v>
      </x:c>
      <x:c r="D8" s="105" t="str">
        <x:v>evidencias/semana8/frontend</x:v>
      </x:c>
      <x:c r="E8" s="220" t="str">
        <x:v>Disponible</x:v>
      </x:c>
      <x:c r="F8" s="106" t="str">
        <x:v>Confirmación inicial.</x:v>
      </x:c>
    </x:row>
    <x:row r="9">
      <x:c r="A9" s="104" t="str">
        <x:v>EV-06</x:v>
      </x:c>
      <x:c r="B9" s="105" t="str">
        <x:v>Hito 1</x:v>
      </x:c>
      <x:c r="C9" s="105" t="str">
        <x:v>evidencia_hito1_panel_admin_s8.png</x:v>
      </x:c>
      <x:c r="D9" s="105" t="str">
        <x:v>evidencias/semana8/backend</x:v>
      </x:c>
      <x:c r="E9" s="220" t="str">
        <x:v>Disponible</x:v>
      </x:c>
      <x:c r="F9" s="106" t="str">
        <x:v>Panel administrador inicial.</x:v>
      </x:c>
    </x:row>
    <x:row r="10">
      <x:c r="A10" s="104" t="str">
        <x:v>EV-07</x:v>
      </x:c>
      <x:c r="B10" s="105" t="str">
        <x:v>Hito 2</x:v>
      </x:c>
      <x:c r="C10" s="105" t="str">
        <x:v>evidencia_hito2_clima_destino_s8.png</x:v>
      </x:c>
      <x:c r="D10" s="105" t="str">
        <x:v>evidencias/semana8/api_externa</x:v>
      </x:c>
      <x:c r="E10" s="220" t="str">
        <x:v>Disponible</x:v>
      </x:c>
      <x:c r="F10" s="106" t="str">
        <x:v>Vista de clima Open-Meteo.</x:v>
      </x:c>
    </x:row>
    <x:row r="11">
      <x:c r="A11" s="104" t="str">
        <x:v>EV-08</x:v>
      </x:c>
      <x:c r="B11" s="105" t="str">
        <x:v>Hito 3</x:v>
      </x:c>
      <x:c r="C11" s="105" t="str">
        <x:v>evidencia_hito3_api_health_s8.png</x:v>
      </x:c>
      <x:c r="D11" s="105" t="str">
        <x:v>evidencias/semana8/api_json</x:v>
      </x:c>
      <x:c r="E11" s="220" t="str">
        <x:v>Disponible</x:v>
      </x:c>
      <x:c r="F11" s="106" t="str">
        <x:v>Endpoint /api/health.</x:v>
      </x:c>
    </x:row>
    <x:row r="12">
      <x:c r="A12" s="104" t="str">
        <x:v>EV-09</x:v>
      </x:c>
      <x:c r="B12" s="105" t="str">
        <x:v>Hito 3</x:v>
      </x:c>
      <x:c r="C12" s="105" t="str">
        <x:v>evidencia_hito3_api_reservas_s8.png</x:v>
      </x:c>
      <x:c r="D12" s="105" t="str">
        <x:v>evidencias/semana8/api_json</x:v>
      </x:c>
      <x:c r="E12" s="220" t="str">
        <x:v>Disponible</x:v>
      </x:c>
      <x:c r="F12" s="106" t="str">
        <x:v>Endpoint /api/reservas.</x:v>
      </x:c>
    </x:row>
    <x:row r="13">
      <x:c r="A13" s="104" t="str">
        <x:v>EV-10</x:v>
      </x:c>
      <x:c r="B13" s="105" t="str">
        <x:v>Hito 3</x:v>
      </x:c>
      <x:c r="C13" s="105" t="str">
        <x:v>evidencia_hito3_api_disponibilidad_s8.png</x:v>
      </x:c>
      <x:c r="D13" s="105" t="str">
        <x:v>evidencias/semana8/api_json</x:v>
      </x:c>
      <x:c r="E13" s="220" t="str">
        <x:v>Disponible</x:v>
      </x:c>
      <x:c r="F13" s="106" t="str">
        <x:v>Endpoint /api/disponibilidad válido.</x:v>
      </x:c>
    </x:row>
    <x:row r="14">
      <x:c r="A14" s="104" t="str">
        <x:v>EV-11</x:v>
      </x:c>
      <x:c r="B14" s="105" t="str">
        <x:v>Hito 3</x:v>
      </x:c>
      <x:c r="C14" s="105" t="str">
        <x:v>evidencia_hito3_api_disponibilidad_error_s8.png</x:v>
      </x:c>
      <x:c r="D14" s="105" t="str">
        <x:v>evidencias/semana8/api_json</x:v>
      </x:c>
      <x:c r="E14" s="220" t="str">
        <x:v>Disponible</x:v>
      </x:c>
      <x:c r="F14" s="106" t="str">
        <x:v>Endpoint /api/disponibilidad con error.</x:v>
      </x:c>
    </x:row>
    <x:row r="15">
      <x:c r="A15" s="104" t="str">
        <x:v>EV-12</x:v>
      </x:c>
      <x:c r="B15" s="105" t="str">
        <x:v>Hito 3</x:v>
      </x:c>
      <x:c r="C15" s="105" t="str">
        <x:v>evidencia_hito3_api_clima_destino_s8.png</x:v>
      </x:c>
      <x:c r="D15" s="105" t="str">
        <x:v>evidencias/semana8/api_json</x:v>
      </x:c>
      <x:c r="E15" s="220" t="str">
        <x:v>Disponible</x:v>
      </x:c>
      <x:c r="F15" s="106" t="str">
        <x:v>Endpoint /api/clima-destino.</x:v>
      </x:c>
    </x:row>
    <x:row r="16">
      <x:c r="A16" s="104" t="str">
        <x:v>EV-13</x:v>
      </x:c>
      <x:c r="B16" s="105" t="str">
        <x:v>Hito 4</x:v>
      </x:c>
      <x:c r="C16" s="105" t="str">
        <x:v>evidencia_hito4_cliente_creado_sqlite_s8.png</x:v>
      </x:c>
      <x:c r="D16" s="105" t="str">
        <x:v>evidencias/semana8/backend</x:v>
      </x:c>
      <x:c r="E16" s="220" t="str">
        <x:v>Disponible</x:v>
      </x:c>
      <x:c r="F16" s="106" t="str">
        <x:v>Cliente creado/reutilizado.</x:v>
      </x:c>
    </x:row>
    <x:row r="17">
      <x:c r="A17" s="104" t="str">
        <x:v>EV-14</x:v>
      </x:c>
      <x:c r="B17" s="105" t="str">
        <x:v>Hito 4</x:v>
      </x:c>
      <x:c r="C17" s="105" t="str">
        <x:v>evidencia_hito4_reserva_cliente_real_s8.png</x:v>
      </x:c>
      <x:c r="D17" s="105" t="str">
        <x:v>evidencias/semana8/base_datos</x:v>
      </x:c>
      <x:c r="E17" s="220" t="str">
        <x:v>Disponible</x:v>
      </x:c>
      <x:c r="F17" s="106" t="str">
        <x:v>Reserva asociada a cliente real.</x:v>
      </x:c>
    </x:row>
    <x:row r="18">
      <x:c r="A18" s="104" t="str">
        <x:v>EV-15</x:v>
      </x:c>
      <x:c r="B18" s="105" t="str">
        <x:v>Hito 5</x:v>
      </x:c>
      <x:c r="C18" s="105" t="str">
        <x:v>evidencia_hito5_confirmacion_cliente_s8.png</x:v>
      </x:c>
      <x:c r="D18" s="105" t="str">
        <x:v>evidencias/semana8/frontend</x:v>
      </x:c>
      <x:c r="E18" s="220" t="str">
        <x:v>Disponible</x:v>
      </x:c>
      <x:c r="F18" s="106" t="str">
        <x:v>Confirmación con cliente asociado.</x:v>
      </x:c>
    </x:row>
    <x:row r="19">
      <x:c r="A19" s="104" t="str">
        <x:v>EV-16</x:v>
      </x:c>
      <x:c r="B19" s="105" t="str">
        <x:v>Hito 5</x:v>
      </x:c>
      <x:c r="C19" s="105" t="str">
        <x:v>evidencia_hito5_panel_admin_cliente_s8.png</x:v>
      </x:c>
      <x:c r="D19" s="105" t="str">
        <x:v>evidencias/semana8/frontend</x:v>
      </x:c>
      <x:c r="E19" s="220" t="str">
        <x:v>Disponible</x:v>
      </x:c>
      <x:c r="F19" s="106" t="str">
        <x:v>Panel admin con cliente/correo/teléfono.</x:v>
      </x:c>
    </x:row>
    <x:row r="20">
      <x:c r="A20" s="104" t="str">
        <x:v>EV-17</x:v>
      </x:c>
      <x:c r="B20" s="105" t="str">
        <x:v>Hito 7</x:v>
      </x:c>
      <x:c r="C20" s="105" t="str">
        <x:v>PRY3211_Exp3_S8_Planilla_Testing_Hotel_Pacific_Reef.xlsx</x:v>
      </x:c>
      <x:c r="D20" s="105" t="str">
        <x:v>testing</x:v>
      </x:c>
      <x:c r="E20" s="220" t="str">
        <x:v>Disponible</x:v>
      </x:c>
      <x:c r="F20" s="106" t="str">
        <x:v>Planilla de pruebas S8.</x:v>
      </x:c>
    </x:row>
    <x:row r="21">
      <x:c r="A21" s="104" t="str">
        <x:v>EV-18</x:v>
      </x:c>
      <x:c r="B21" s="105" t="str">
        <x:v>Hito 8</x:v>
      </x:c>
      <x:c r="C21" s="105" t="str">
        <x:v>PRY3211_Exp3_S8_DOD_Hotel_Pacific_Reef.xlsx</x:v>
      </x:c>
      <x:c r="D21" s="105" t="str">
        <x:v>dod</x:v>
      </x:c>
      <x:c r="E21" s="220" t="str">
        <x:v>Disponible</x:v>
      </x:c>
      <x:c r="F21" s="106" t="str">
        <x:v>DOD Semana 8 actualizado.</x:v>
      </x:c>
    </x:row>
    <x:row r="22">
      <x:c r="A22" s="104" t="str">
        <x:v>EV-19</x:v>
      </x:c>
      <x:c r="B22" s="105" t="str">
        <x:v>Cierre</x:v>
      </x:c>
      <x:c r="C22" s="105" t="str">
        <x:v>Captura GitHub</x:v>
      </x:c>
      <x:c r="D22" s="105" t="str">
        <x:v>evidencias/semana8/github</x:v>
      </x:c>
      <x:c r="E22" s="222" t="str">
        <x:v>Por validar</x:v>
      </x:c>
      <x:c r="F22" s="106" t="str">
        <x:v>Pendiente de cierre final.</x:v>
      </x:c>
    </x:row>
    <x:row r="23">
      <x:c r="A23" s="104" t="str">
        <x:v>EV-20</x:v>
      </x:c>
      <x:c r="B23" s="105" t="str">
        <x:v>Cierre</x:v>
      </x:c>
      <x:c r="C23" s="105" t="str">
        <x:v>Captura Trello</x:v>
      </x:c>
      <x:c r="D23" s="105" t="str">
        <x:v>evidencias/semana8/trello</x:v>
      </x:c>
      <x:c r="E23" s="222" t="str">
        <x:v>Por validar</x:v>
      </x:c>
      <x:c r="F23" s="106" t="str">
        <x:v>Pendiente de cierre final.</x:v>
      </x:c>
    </x:row>
    <x:row r="24">
      <x:c r="A24" s="107" t="str">
        <x:v>EV-21</x:v>
      </x:c>
      <x:c r="B24" s="108" t="str">
        <x:v>Cierre</x:v>
      </x:c>
      <x:c r="C24" s="108" t="str">
        <x:v>Video demo / Teams</x:v>
      </x:c>
      <x:c r="D24" s="108" t="str">
        <x:v>videos</x:v>
      </x:c>
      <x:c r="E24" s="226" t="str">
        <x:v>Pendiente</x:v>
      </x:c>
      <x:c r="F24" s="109" t="str">
        <x:v>Pendiente de grabación.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60" hidden="0" customWidth="1"/>
    <x:col min="4" max="4" width="55" hidden="0" customWidth="1"/>
  </x:cols>
  <x:sheetData>
    <x:row r="1">
      <x:c r="A1" s="4" t="str">
        <x:v>Fuentes y documentos de respaldo - Semana 8</x:v>
      </x:c>
    </x:row>
    <x:row r="3">
      <x:c r="A3" s="201" t="str">
        <x:v>ID</x:v>
      </x:c>
      <x:c r="B3" s="202" t="str">
        <x:v>Documento / fuente</x:v>
      </x:c>
      <x:c r="C3" s="202" t="str">
        <x:v>Uso en DOD</x:v>
      </x:c>
      <x:c r="D3" s="203" t="str">
        <x:v>Ubicación / enlace</x:v>
      </x:c>
    </x:row>
    <x:row r="4">
      <x:c r="A4" s="101" t="str">
        <x:v>F-01</x:v>
      </x:c>
      <x:c r="B4" s="102" t="str">
        <x:v>Guía de aprendizaje Semana 8</x:v>
      </x:c>
      <x:c r="C4" s="102" t="str">
        <x:v>Base de exigencias: prototipo funcional, testing, manual y ambiente de pruebas.</x:v>
      </x:c>
      <x:c r="D4" s="103" t="str">
        <x:v>PRY3211_Exp3_S8_guia_de_aprendizaje.pdf</x:v>
      </x:c>
    </x:row>
    <x:row r="5">
      <x:c r="A5" s="104" t="str">
        <x:v>F-02</x:v>
      </x:c>
      <x:c r="B5" s="105" t="str">
        <x:v>Instrucciones específicas Semana 8</x:v>
      </x:c>
      <x:c r="C5" s="105" t="str">
        <x:v>Define documentación, GitHub, Trello, manual, videos y ZIP final.</x:v>
      </x:c>
      <x:c r="D5" s="106" t="str">
        <x:v>PRY3211_Exp3_S8_Instrucciones_específicas_actividad_con_encargo.pdf</x:v>
      </x:c>
    </x:row>
    <x:row r="6">
      <x:c r="A6" s="104" t="str">
        <x:v>F-03</x:v>
      </x:c>
      <x:c r="B6" s="105" t="str">
        <x:v>Rúbrica Parte I y II</x:v>
      </x:c>
      <x:c r="C6" s="105" t="str">
        <x:v>Criterios técnicos: front-end, back-end, testing, mejoras, Git/Trello/evidencias e integración.</x:v>
      </x:c>
      <x:c r="D6" s="106" t="str">
        <x:v>PRY3211_Exp3_S8_Rúbrica_act_sumativa_Parte_I_y_II.pdf</x:v>
      </x:c>
    </x:row>
    <x:row r="7">
      <x:c r="A7" s="104" t="str">
        <x:v>F-04</x:v>
      </x:c>
      <x:c r="B7" s="105" t="str">
        <x:v>Rúbrica Parte III</x:v>
      </x:c>
      <x:c r="C7" s="105" t="str">
        <x:v>Criterios para reflexión individual.</x:v>
      </x:c>
      <x:c r="D7" s="106" t="str">
        <x:v>PRY3211_Exp3_S8_Rúbrica_act_sumativa_Parte_III.pdf</x:v>
      </x:c>
    </x:row>
    <x:row r="8">
      <x:c r="A8" s="104" t="str">
        <x:v>F-05</x:v>
      </x:c>
      <x:c r="B8" s="105" t="str">
        <x:v>README.md</x:v>
      </x:c>
      <x:c r="C8" s="105" t="str">
        <x:v>Estado funcional del release Semana 8.</x:v>
      </x:c>
      <x:c r="D8" s="106" t="str">
        <x:v>README.md</x:v>
      </x:c>
    </x:row>
    <x:row r="9">
      <x:c r="A9" s="104" t="str">
        <x:v>F-06</x:v>
      </x:c>
      <x:c r="B9" s="105" t="str">
        <x:v>Inventario funcional S8</x:v>
      </x:c>
      <x:c r="C9" s="105" t="str">
        <x:v>Listado de funcionalidades implementadas y pendientes.</x:v>
      </x:c>
      <x:c r="D9" s="106" t="str">
        <x:v>docs/inventario_funcional_release_s8.txt</x:v>
      </x:c>
    </x:row>
    <x:row r="10">
      <x:c r="A10" s="107" t="str">
        <x:v>F-07</x:v>
      </x:c>
      <x:c r="B10" s="108" t="str">
        <x:v>Planilla Testing S8</x:v>
      </x:c>
      <x:c r="C10" s="108" t="str">
        <x:v>Set de pruebas del release Semana 8.</x:v>
      </x:c>
      <x:c r="D10" s="109" t="str">
        <x:v>testing/PRY3211_Exp3_S8_Planilla_Testing_Hotel_Pacific_Reef.xlsx</x:v>
      </x:c>
    </x:row>
  </x:sheetData>
  <x:mergeCells>
    <x:mergeCell ref="A1:D1"/>
  </x:mergeCells>
  <x:pageMargins left="0.7" right="0.7" top="0.75" bottom="0.75" header="0.3" footer="0.3"/>
</x:worksheet>
</file>